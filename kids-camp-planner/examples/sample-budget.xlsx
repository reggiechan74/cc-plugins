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Weekly Schedule" sheetId="2" state="visible" r:id="rId4"/>
    <sheet name="Provider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<sst xmlns="http://schemas.openxmlformats.org/spreadsheetml/2006/main" count="90" uniqueCount="70">
  <si>
    <t xml:space="preserve">Summer 2025 Camp Budget</t>
  </si>
  <si>
    <t xml:space="preserve">Cost Breakdown</t>
  </si>
  <si>
    <t xml:space="preserve">Category</t>
  </si>
  <si>
    <t xml:space="preserve">Emma (age 8)</t>
  </si>
  <si>
    <t xml:space="preserve">Liam (age 5)</t>
  </si>
  <si>
    <t xml:space="preserve">Total</t>
  </si>
  <si>
    <t xml:space="preserve">Camp Fees</t>
  </si>
  <si>
    <t xml:space="preserve">Before/After Care</t>
  </si>
  <si>
    <t xml:space="preserve">Lunch</t>
  </si>
  <si>
    <t xml:space="preserve">Registration</t>
  </si>
  <si>
    <t xml:space="preserve">Subtotal</t>
  </si>
  <si>
    <t xml:space="preserve">Discounts</t>
  </si>
  <si>
    <t xml:space="preserve">Discount</t>
  </si>
  <si>
    <t xml:space="preserve">Emma</t>
  </si>
  <si>
    <t xml:space="preserve">Liam</t>
  </si>
  <si>
    <t xml:space="preserve">Sibling Discount (10%)</t>
  </si>
  <si>
    <t xml:space="preserve">Early Bird ($25/wk)</t>
  </si>
  <si>
    <t xml:space="preserve">Total Discounts</t>
  </si>
  <si>
    <t xml:space="preserve">GRAND TOTAL</t>
  </si>
  <si>
    <t xml:space="preserve">Budget vs. Target</t>
  </si>
  <si>
    <t xml:space="preserve">Budget Limit</t>
  </si>
  <si>
    <t xml:space="preserve">Projected Spend</t>
  </si>
  <si>
    <t xml:space="preserve">Variance</t>
  </si>
  <si>
    <t xml:space="preserve">Status</t>
  </si>
  <si>
    <t xml:space="preserve">Tax Recovery Estimate (Line 21400)</t>
  </si>
  <si>
    <t xml:space="preserve">Child</t>
  </si>
  <si>
    <t xml:space="preserve">Eligible Amount</t>
  </si>
  <si>
    <t xml:space="preserve">Marginal Rate</t>
  </si>
  <si>
    <t xml:space="preserve">Est. Savings</t>
  </si>
  <si>
    <t xml:space="preserve">Total Savings</t>
  </si>
  <si>
    <t xml:space="preserve">Summer 2025 Weekly Schedule</t>
  </si>
  <si>
    <t xml:space="preserve">Week</t>
  </si>
  <si>
    <t xml:space="preserve">Dates</t>
  </si>
  <si>
    <t xml:space="preserve">Emma's Camp</t>
  </si>
  <si>
    <t xml:space="preserve">Emma Cost</t>
  </si>
  <si>
    <t xml:space="preserve">Liam's Camp</t>
  </si>
  <si>
    <t xml:space="preserve">Liam Cost</t>
  </si>
  <si>
    <t xml:space="preserve">Weekly Total</t>
  </si>
  <si>
    <t xml:space="preserve">Jun 30 - Jul 4</t>
  </si>
  <si>
    <t xml:space="preserve">YMCA Cedar Glen</t>
  </si>
  <si>
    <t xml:space="preserve">Jul 7 - Jul 11</t>
  </si>
  <si>
    <t xml:space="preserve">Jul 14 - Jul 18</t>
  </si>
  <si>
    <t xml:space="preserve">Jul 21 - Jul 25</t>
  </si>
  <si>
    <t xml:space="preserve">City of Toronto</t>
  </si>
  <si>
    <t xml:space="preserve">Jul 28 - Aug 1</t>
  </si>
  <si>
    <t xml:space="preserve">Aug 4 - Aug 8</t>
  </si>
  <si>
    <t xml:space="preserve">Aug 11 - Aug 15</t>
  </si>
  <si>
    <t xml:space="preserve">Science Camp TO</t>
  </si>
  <si>
    <t xml:space="preserve">Aug 18 - Aug 22</t>
  </si>
  <si>
    <t xml:space="preserve">TOTAL</t>
  </si>
  <si>
    <t xml:space="preserve">Camp Provider Comparison</t>
  </si>
  <si>
    <t xml:space="preserve">Provider</t>
  </si>
  <si>
    <t xml:space="preserve">Weekly Cost</t>
  </si>
  <si>
    <t xml:space="preserve">Before Care</t>
  </si>
  <si>
    <t xml:space="preserve">After Care</t>
  </si>
  <si>
    <t xml:space="preserve">Total/Week</t>
  </si>
  <si>
    <t xml:space="preserve">Rating</t>
  </si>
  <si>
    <t xml:space="preserve">Notes</t>
  </si>
  <si>
    <t xml:space="preserve">4.5 / 5</t>
  </si>
  <si>
    <t xml:space="preserve">HIGH FIVE certified, 8:1 ratio</t>
  </si>
  <si>
    <t xml:space="preserve">4.0 / 5</t>
  </si>
  <si>
    <t xml:space="preserve">Municipal program, subsidies available</t>
  </si>
  <si>
    <t xml:space="preserve">Science Camp Toronto</t>
  </si>
  <si>
    <t xml:space="preserve">4.3 / 5</t>
  </si>
  <si>
    <t xml:space="preserve">STEM focus, lunch included</t>
  </si>
  <si>
    <t xml:space="preserve">8-Week Cost Comparison</t>
  </si>
  <si>
    <t xml:space="preserve">Camp Only</t>
  </si>
  <si>
    <t xml:space="preserve">+ Before/After</t>
  </si>
  <si>
    <t xml:space="preserve">+ Lunch</t>
  </si>
  <si>
    <t xml:space="preserve">Full 8-Week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</si>
</sst>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$&quot;#,##0\)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5E8D4"/>
        <bgColor rgb="FFD4EDDA"/>
      </patternFill>
    </fill>
    <fill>
      <patternFill patternType="solid">
        <fgColor rgb="FFF8D7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4EDDA"/>
        <bgColor rgb="FFD5E8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5E8D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2400</v>
      </c>
      <c r="C5" s="5" t="n">
        <v>2400</v>
      </c>
      <c r="D5" s="6" t="n">
        <f aca="false">B5+C5</f>
        <v>4800</v>
      </c>
    </row>
    <row r="6" customFormat="false" ht="15" hidden="false" customHeight="false" outlineLevel="0" collapsed="false">
      <c r="A6" s="7" t="s">
        <v>7</v>
      </c>
      <c r="B6" s="8" t="n">
        <v>800</v>
      </c>
      <c r="C6" s="8" t="n">
        <v>800</v>
      </c>
      <c r="D6" s="9" t="n">
        <f aca="false">B6+C6</f>
        <v>1600</v>
      </c>
    </row>
    <row r="7" customFormat="false" ht="15" hidden="false" customHeight="false" outlineLevel="0" collapsed="false">
      <c r="A7" s="4" t="s">
        <v>8</v>
      </c>
      <c r="B7" s="5" t="n">
        <v>280</v>
      </c>
      <c r="C7" s="5" t="n">
        <v>280</v>
      </c>
      <c r="D7" s="6" t="n">
        <f aca="false">B7+C7</f>
        <v>560</v>
      </c>
    </row>
    <row r="8" customFormat="false" ht="15" hidden="false" customHeight="false" outlineLevel="0" collapsed="false">
      <c r="A8" s="7" t="s">
        <v>9</v>
      </c>
      <c r="B8" s="8" t="n">
        <v>50</v>
      </c>
      <c r="C8" s="8" t="n">
        <v>50</v>
      </c>
      <c r="D8" s="9" t="n">
        <f aca="false">B8+C8</f>
        <v>100</v>
      </c>
    </row>
    <row r="9" customFormat="false" ht="15" hidden="false" customHeight="false" outlineLevel="0" collapsed="false">
      <c r="A9" s="10" t="s">
        <v>10</v>
      </c>
      <c r="B9" s="11" t="n">
        <f aca="false">SUM(B5:B8)</f>
        <v>3530</v>
      </c>
      <c r="C9" s="11" t="n">
        <f aca="false">SUM(C5:C8)</f>
        <v>3530</v>
      </c>
      <c r="D9" s="11" t="n">
        <f aca="false">SUM(D5:D8)</f>
        <v>7060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3" t="s">
        <v>11</v>
      </c>
      <c r="B11" s="13"/>
      <c r="C11" s="13"/>
      <c r="D11" s="13"/>
    </row>
    <row r="12" customFormat="false" ht="15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5</v>
      </c>
    </row>
    <row r="13" customFormat="false" ht="15" hidden="false" customHeight="false" outlineLevel="0" collapsed="false">
      <c r="A13" s="4" t="s">
        <v>15</v>
      </c>
      <c r="B13" s="14" t="n">
        <v>0</v>
      </c>
      <c r="C13" s="14" t="n">
        <v>240</v>
      </c>
      <c r="D13" s="15" t="n">
        <f aca="false">B13+C13</f>
        <v>240</v>
      </c>
    </row>
    <row r="14" customFormat="false" ht="15" hidden="false" customHeight="false" outlineLevel="0" collapsed="false">
      <c r="A14" s="7" t="s">
        <v>16</v>
      </c>
      <c r="B14" s="16" t="n">
        <v>200</v>
      </c>
      <c r="C14" s="16" t="n">
        <v>200</v>
      </c>
      <c r="D14" s="17" t="n">
        <f aca="false">B14+C14</f>
        <v>400</v>
      </c>
    </row>
    <row r="15" customFormat="false" ht="15" hidden="false" customHeight="false" outlineLevel="0" collapsed="false">
      <c r="A15" s="18" t="s">
        <v>17</v>
      </c>
      <c r="B15" s="19" t="n">
        <f aca="false">SUM(B13:B14)</f>
        <v>200</v>
      </c>
      <c r="C15" s="19" t="n">
        <f aca="false">SUM(C13:C14)</f>
        <v>440</v>
      </c>
      <c r="D15" s="19" t="n">
        <f aca="false">SUM(D13:D14)</f>
        <v>640</v>
      </c>
    </row>
    <row r="17" customFormat="false" ht="15" hidden="false" customHeight="false" outlineLevel="0" collapsed="false">
      <c r="A17" s="20" t="s">
        <v>18</v>
      </c>
      <c r="B17" s="21" t="n">
        <f aca="false">B9-B15</f>
        <v>3330</v>
      </c>
      <c r="C17" s="21" t="n">
        <f aca="false">C9-C15</f>
        <v>3090</v>
      </c>
      <c r="D17" s="21" t="n">
        <f aca="false">D9-D15</f>
        <v>6420</v>
      </c>
    </row>
    <row r="19" customFormat="false" ht="15" hidden="false" customHeight="false" outlineLevel="0" collapsed="false">
      <c r="A19" s="22" t="s">
        <v>19</v>
      </c>
      <c r="B19" s="22"/>
      <c r="C19" s="22"/>
      <c r="D19" s="22"/>
    </row>
    <row r="20" customFormat="false" ht="15" hidden="false" customHeight="false" outlineLevel="0" collapsed="false">
      <c r="A20" s="4" t="s">
        <v>20</v>
      </c>
      <c r="B20" s="23" t="n">
        <v>7000</v>
      </c>
    </row>
    <row r="21" customFormat="false" ht="15" hidden="false" customHeight="false" outlineLevel="0" collapsed="false">
      <c r="A21" s="4" t="s">
        <v>21</v>
      </c>
      <c r="B21" s="24" t="n">
        <f aca="false">D17</f>
        <v>6420</v>
      </c>
    </row>
    <row r="22" customFormat="false" ht="15" hidden="false" customHeight="false" outlineLevel="0" collapsed="false">
      <c r="A22" s="25" t="s">
        <v>22</v>
      </c>
      <c r="B22" s="26" t="n">
        <f aca="false">B20-B21</f>
        <v>580</v>
      </c>
    </row>
    <row r="23" customFormat="false" ht="15" hidden="false" customHeight="false" outlineLevel="0" collapsed="false">
      <c r="A23" s="25" t="s">
        <v>23</v>
      </c>
      <c r="B23" s="27" t="str">
        <f aca="false">IF(B22&gt;=0,"UNDER BUDGET","OVER BUDGET")</f>
        <v>UNDER BUDGET</v>
      </c>
    </row>
    <row r="25" customFormat="false" ht="15" hidden="false" customHeight="false" outlineLevel="0" collapsed="false">
      <c r="A25" s="22" t="s">
        <v>24</v>
      </c>
      <c r="B25" s="22"/>
      <c r="C25" s="22"/>
      <c r="D25" s="22"/>
    </row>
    <row r="26" customFormat="false" ht="15" hidden="false" customHeight="false" outlineLevel="0" collapsed="false">
      <c r="A26" s="3" t="s">
        <v>25</v>
      </c>
      <c r="B26" s="3" t="s">
        <v>26</v>
      </c>
      <c r="C26" s="3" t="s">
        <v>27</v>
      </c>
      <c r="D26" s="3" t="s">
        <v>28</v>
      </c>
    </row>
    <row r="27" customFormat="false" ht="15" hidden="false" customHeight="false" outlineLevel="0" collapsed="false">
      <c r="A27" s="4" t="s">
        <v>13</v>
      </c>
      <c r="B27" s="24" t="n">
        <f aca="false">B17</f>
        <v>3330</v>
      </c>
      <c r="C27" s="28" t="n">
        <v>0.25</v>
      </c>
      <c r="D27" s="24" t="n">
        <f aca="false">B27*C27</f>
        <v>832.5</v>
      </c>
    </row>
    <row r="28" customFormat="false" ht="15" hidden="false" customHeight="false" outlineLevel="0" collapsed="false">
      <c r="A28" s="7" t="s">
        <v>14</v>
      </c>
      <c r="B28" s="29" t="n">
        <f aca="false">C17</f>
        <v>3090</v>
      </c>
      <c r="C28" s="30" t="n">
        <v>0.25</v>
      </c>
      <c r="D28" s="29" t="n">
        <f aca="false">B28*C28</f>
        <v>772.5</v>
      </c>
    </row>
    <row r="29" customFormat="false" ht="15" hidden="false" customHeight="false" outlineLevel="0" collapsed="false">
      <c r="A29" s="10" t="s">
        <v>29</v>
      </c>
      <c r="B29" s="31"/>
      <c r="C29" s="31"/>
      <c r="D29" s="11" t="n">
        <f aca="false">SUM(D27:D28)</f>
        <v>1605</v>
      </c>
    </row>
  </sheetData>
  <mergeCells count="4">
    <mergeCell ref="A1:D1"/>
    <mergeCell ref="A11:D11"/>
    <mergeCell ref="A19:D19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</row>
    <row r="4" customFormat="false" ht="15" hidden="false" customHeight="false" outlineLevel="0" collapsed="false">
      <c r="A4" s="32" t="n">
        <v>1</v>
      </c>
      <c r="B4" s="4" t="s">
        <v>38</v>
      </c>
      <c r="C4" s="4" t="s">
        <v>39</v>
      </c>
      <c r="D4" s="5" t="n">
        <v>300</v>
      </c>
      <c r="E4" s="4" t="s">
        <v>39</v>
      </c>
      <c r="F4" s="5" t="n">
        <v>300</v>
      </c>
      <c r="G4" s="6" t="n">
        <f aca="false">D4+F4</f>
        <v>600</v>
      </c>
    </row>
    <row r="5" customFormat="false" ht="15" hidden="false" customHeight="false" outlineLevel="0" collapsed="false">
      <c r="A5" s="33" t="n">
        <v>2</v>
      </c>
      <c r="B5" s="7" t="s">
        <v>40</v>
      </c>
      <c r="C5" s="7" t="s">
        <v>39</v>
      </c>
      <c r="D5" s="8" t="n">
        <v>300</v>
      </c>
      <c r="E5" s="7" t="s">
        <v>39</v>
      </c>
      <c r="F5" s="8" t="n">
        <v>300</v>
      </c>
      <c r="G5" s="9" t="n">
        <f aca="false">D5+F5</f>
        <v>600</v>
      </c>
    </row>
    <row r="6" customFormat="false" ht="15" hidden="false" customHeight="false" outlineLevel="0" collapsed="false">
      <c r="A6" s="32" t="n">
        <v>3</v>
      </c>
      <c r="B6" s="4" t="s">
        <v>41</v>
      </c>
      <c r="C6" s="4" t="s">
        <v>39</v>
      </c>
      <c r="D6" s="5" t="n">
        <v>300</v>
      </c>
      <c r="E6" s="4" t="s">
        <v>39</v>
      </c>
      <c r="F6" s="5" t="n">
        <v>300</v>
      </c>
      <c r="G6" s="6" t="n">
        <f aca="false">D6+F6</f>
        <v>600</v>
      </c>
    </row>
    <row r="7" customFormat="false" ht="15" hidden="false" customHeight="false" outlineLevel="0" collapsed="false">
      <c r="A7" s="33" t="n">
        <v>4</v>
      </c>
      <c r="B7" s="7" t="s">
        <v>42</v>
      </c>
      <c r="C7" s="7" t="s">
        <v>43</v>
      </c>
      <c r="D7" s="8" t="n">
        <v>200</v>
      </c>
      <c r="E7" s="7" t="s">
        <v>43</v>
      </c>
      <c r="F7" s="8" t="n">
        <v>200</v>
      </c>
      <c r="G7" s="9" t="n">
        <f aca="false">D7+F7</f>
        <v>400</v>
      </c>
    </row>
    <row r="8" customFormat="false" ht="15" hidden="false" customHeight="false" outlineLevel="0" collapsed="false">
      <c r="A8" s="32" t="n">
        <v>5</v>
      </c>
      <c r="B8" s="4" t="s">
        <v>44</v>
      </c>
      <c r="C8" s="4" t="s">
        <v>39</v>
      </c>
      <c r="D8" s="5" t="n">
        <v>300</v>
      </c>
      <c r="E8" s="4" t="s">
        <v>39</v>
      </c>
      <c r="F8" s="5" t="n">
        <v>300</v>
      </c>
      <c r="G8" s="6" t="n">
        <f aca="false">D8+F8</f>
        <v>600</v>
      </c>
    </row>
    <row r="9" customFormat="false" ht="15" hidden="false" customHeight="false" outlineLevel="0" collapsed="false">
      <c r="A9" s="33" t="n">
        <v>6</v>
      </c>
      <c r="B9" s="7" t="s">
        <v>45</v>
      </c>
      <c r="C9" s="7" t="s">
        <v>39</v>
      </c>
      <c r="D9" s="8" t="n">
        <v>300</v>
      </c>
      <c r="E9" s="7" t="s">
        <v>39</v>
      </c>
      <c r="F9" s="8" t="n">
        <v>300</v>
      </c>
      <c r="G9" s="9" t="n">
        <f aca="false">D9+F9</f>
        <v>600</v>
      </c>
    </row>
    <row r="10" customFormat="false" ht="15" hidden="false" customHeight="false" outlineLevel="0" collapsed="false">
      <c r="A10" s="32" t="n">
        <v>7</v>
      </c>
      <c r="B10" s="4" t="s">
        <v>46</v>
      </c>
      <c r="C10" s="4" t="s">
        <v>47</v>
      </c>
      <c r="D10" s="5" t="n">
        <v>350</v>
      </c>
      <c r="E10" s="4" t="s">
        <v>43</v>
      </c>
      <c r="F10" s="5" t="n">
        <v>200</v>
      </c>
      <c r="G10" s="6" t="n">
        <f aca="false">D10+F10</f>
        <v>550</v>
      </c>
    </row>
    <row r="11" customFormat="false" ht="15" hidden="false" customHeight="false" outlineLevel="0" collapsed="false">
      <c r="A11" s="33" t="n">
        <v>8</v>
      </c>
      <c r="B11" s="7" t="s">
        <v>48</v>
      </c>
      <c r="C11" s="7" t="s">
        <v>39</v>
      </c>
      <c r="D11" s="8" t="n">
        <v>300</v>
      </c>
      <c r="E11" s="7" t="s">
        <v>39</v>
      </c>
      <c r="F11" s="8" t="n">
        <v>300</v>
      </c>
      <c r="G11" s="9" t="n">
        <f aca="false">D11+F11</f>
        <v>600</v>
      </c>
    </row>
    <row r="12" customFormat="false" ht="15" hidden="false" customHeight="false" outlineLevel="0" collapsed="false">
      <c r="A12" s="10" t="s">
        <v>49</v>
      </c>
      <c r="B12" s="31"/>
      <c r="C12" s="31"/>
      <c r="D12" s="11" t="n">
        <f aca="false">SUM(D4:D11)</f>
        <v>2350</v>
      </c>
      <c r="E12" s="31"/>
      <c r="F12" s="11" t="n">
        <f aca="false">SUM(F4:F11)</f>
        <v>2200</v>
      </c>
      <c r="G12" s="21" t="n">
        <f aca="false">SUM(G4:G11)</f>
        <v>4550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12"/>
    <col collapsed="false" customWidth="true" hidden="false" outlineLevel="0" max="8" min="8" style="0" width="38"/>
  </cols>
  <sheetData>
    <row r="1" customFormat="false" ht="17.35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8</v>
      </c>
      <c r="F3" s="3" t="s">
        <v>55</v>
      </c>
      <c r="G3" s="3" t="s">
        <v>56</v>
      </c>
      <c r="H3" s="3" t="s">
        <v>57</v>
      </c>
    </row>
    <row r="4" customFormat="false" ht="15" hidden="false" customHeight="false" outlineLevel="0" collapsed="false">
      <c r="A4" s="25" t="s">
        <v>39</v>
      </c>
      <c r="B4" s="5" t="n">
        <v>300</v>
      </c>
      <c r="C4" s="5" t="n">
        <v>50</v>
      </c>
      <c r="D4" s="5" t="n">
        <v>50</v>
      </c>
      <c r="E4" s="14" t="n">
        <v>35</v>
      </c>
      <c r="F4" s="6" t="n">
        <f aca="false">SUM(B4:E4)</f>
        <v>435</v>
      </c>
      <c r="G4" s="32" t="s">
        <v>58</v>
      </c>
      <c r="H4" s="4" t="s">
        <v>59</v>
      </c>
    </row>
    <row r="5" customFormat="false" ht="15" hidden="false" customHeight="false" outlineLevel="0" collapsed="false">
      <c r="A5" s="34" t="s">
        <v>43</v>
      </c>
      <c r="B5" s="8" t="n">
        <v>200</v>
      </c>
      <c r="C5" s="8" t="n">
        <v>40</v>
      </c>
      <c r="D5" s="8" t="n">
        <v>40</v>
      </c>
      <c r="E5" s="16" t="n">
        <v>30</v>
      </c>
      <c r="F5" s="9" t="n">
        <f aca="false">SUM(B5:E5)</f>
        <v>310</v>
      </c>
      <c r="G5" s="33" t="s">
        <v>60</v>
      </c>
      <c r="H5" s="7" t="s">
        <v>61</v>
      </c>
    </row>
    <row r="6" customFormat="false" ht="15" hidden="false" customHeight="false" outlineLevel="0" collapsed="false">
      <c r="A6" s="25" t="s">
        <v>62</v>
      </c>
      <c r="B6" s="5" t="n">
        <v>350</v>
      </c>
      <c r="C6" s="5" t="n">
        <v>50</v>
      </c>
      <c r="D6" s="5" t="n">
        <v>50</v>
      </c>
      <c r="E6" s="14" t="n">
        <v>0</v>
      </c>
      <c r="F6" s="6" t="n">
        <f aca="false">SUM(B6:E6)</f>
        <v>450</v>
      </c>
      <c r="G6" s="32" t="s">
        <v>63</v>
      </c>
      <c r="H6" s="4" t="s">
        <v>64</v>
      </c>
    </row>
    <row r="8" customFormat="false" ht="15" hidden="false" customHeight="false" outlineLevel="0" collapsed="false">
      <c r="A8" s="22" t="s">
        <v>65</v>
      </c>
      <c r="B8" s="22"/>
      <c r="C8" s="22"/>
      <c r="D8" s="22"/>
      <c r="E8" s="22"/>
      <c r="F8" s="22"/>
      <c r="G8" s="22"/>
      <c r="H8" s="22"/>
    </row>
    <row r="9" customFormat="false" ht="15" hidden="false" customHeight="false" outlineLevel="0" collapsed="false">
      <c r="A9" s="3" t="s">
        <v>51</v>
      </c>
      <c r="B9" s="3" t="s">
        <v>66</v>
      </c>
      <c r="C9" s="3" t="s">
        <v>67</v>
      </c>
      <c r="D9" s="3" t="s">
        <v>68</v>
      </c>
      <c r="E9" s="3" t="s">
        <v>69</v>
      </c>
    </row>
    <row r="10" customFormat="false" ht="15" hidden="false" customHeight="false" outlineLevel="0" collapsed="false">
      <c r="A10" s="25" t="str">
        <f aca="false">A4</f>
        <v>YMCA Cedar Glen</v>
      </c>
      <c r="B10" s="24" t="n">
        <f aca="false">B4*8</f>
        <v>2400</v>
      </c>
      <c r="C10" s="24" t="n">
        <f aca="false">(B4+C4+D4)*8</f>
        <v>3200</v>
      </c>
      <c r="D10" s="24" t="n">
        <f aca="false">F4*8</f>
        <v>3480</v>
      </c>
      <c r="E10" s="6" t="n">
        <f aca="false">D10</f>
        <v>3480</v>
      </c>
    </row>
    <row r="11" customFormat="false" ht="15" hidden="false" customHeight="false" outlineLevel="0" collapsed="false">
      <c r="A11" s="34" t="str">
        <f aca="false">A5</f>
        <v>City of Toronto</v>
      </c>
      <c r="B11" s="29" t="n">
        <f aca="false">B5*8</f>
        <v>1600</v>
      </c>
      <c r="C11" s="29" t="n">
        <f aca="false">(B5+C5+D5)*8</f>
        <v>2240</v>
      </c>
      <c r="D11" s="29" t="n">
        <f aca="false">F5*8</f>
        <v>2480</v>
      </c>
      <c r="E11" s="9" t="n">
        <f aca="false">D11</f>
        <v>2480</v>
      </c>
    </row>
    <row r="12" customFormat="false" ht="15" hidden="false" customHeight="false" outlineLevel="0" collapsed="false">
      <c r="A12" s="25" t="str">
        <f aca="false">A6</f>
        <v>Science Camp Toronto</v>
      </c>
      <c r="B12" s="24" t="n">
        <f aca="false">B6*8</f>
        <v>2800</v>
      </c>
      <c r="C12" s="24" t="n">
        <f aca="false">(B6+C6+D6)*8</f>
        <v>3600</v>
      </c>
      <c r="D12" s="24" t="n">
        <f aca="false">F6*8</f>
        <v>3600</v>
      </c>
      <c r="E12" s="6" t="n">
        <f aca="false">D12</f>
        <v>3600</v>
      </c>
    </row>
  </sheetData>
  <mergeCells count="2">
    <mergeCell ref="A1:H1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2026-02-08T20:19:43Z</dcterms:created>
  <dc:creator>openpyxl</dc:creator>
  <dc:description/>
  <dc:language>en-US</dc:language>
  <cp:lastModifiedBy/>
  <dcterms:modified xsi:type="dcterms:W3CDTF">2026-02-08T20:19:43Z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