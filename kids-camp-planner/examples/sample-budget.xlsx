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vider Comparison" sheetId="1" state="visible" r:id="rId1"/>
    <sheet name="Daily Schedule" sheetId="2" state="visible" r:id="rId2"/>
    <sheet name="Weekly Schedule" sheetId="3" state="visible" r:id="rId3"/>
    <sheet name="Budget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165" fontId="0" fillId="0" borderId="1" pivotButton="0" quotePrefix="0" xfId="0"/>
    <xf numFmtId="0" fontId="2" fillId="3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6" customWidth="1" min="4" max="4"/>
    <col width="15" customWidth="1" min="5" max="5"/>
    <col width="12" customWidth="1" min="6" max="6"/>
    <col width="16" customWidth="1" min="7" max="7"/>
    <col width="14" customWidth="1" min="8" max="8"/>
    <col width="12" customWidth="1" min="9" max="9"/>
    <col width="12" customWidth="1" min="10" max="10"/>
    <col width="12" customWidth="1" min="11" max="11"/>
    <col width="10" customWidth="1" min="12" max="12"/>
    <col width="35" customWidth="1" min="13" max="13"/>
  </cols>
  <sheetData>
    <row r="1">
      <c r="A1" s="1" t="inlineStr">
        <is>
          <t>Camp Provider Comparison</t>
        </is>
      </c>
    </row>
    <row r="3">
      <c r="A3" s="2" t="inlineStr">
        <is>
          <t>Provider</t>
        </is>
      </c>
      <c r="B3" s="2" t="inlineStr">
        <is>
          <t>Weekly Cost</t>
        </is>
      </c>
      <c r="C3" s="2" t="inlineStr">
        <is>
          <t>Daily Cost</t>
        </is>
      </c>
      <c r="D3" s="2" t="inlineStr">
        <is>
          <t>Before Care/day</t>
        </is>
      </c>
      <c r="E3" s="2" t="inlineStr">
        <is>
          <t>After Care/day</t>
        </is>
      </c>
      <c r="F3" s="2" t="inlineStr">
        <is>
          <t>Lunch/day</t>
        </is>
      </c>
      <c r="G3" s="2" t="inlineStr">
        <is>
          <t>Before Care/wk</t>
        </is>
      </c>
      <c r="H3" s="2" t="inlineStr">
        <is>
          <t>After Care/wk</t>
        </is>
      </c>
      <c r="I3" s="2" t="inlineStr">
        <is>
          <t>Lunch/wk</t>
        </is>
      </c>
      <c r="J3" s="2" t="inlineStr">
        <is>
          <t>Total/Day</t>
        </is>
      </c>
      <c r="K3" s="2" t="inlineStr">
        <is>
          <t>Total/Week</t>
        </is>
      </c>
      <c r="L3" s="2" t="inlineStr">
        <is>
          <t>Rating</t>
        </is>
      </c>
      <c r="M3" s="2" t="inlineStr">
        <is>
          <t>Notes</t>
        </is>
      </c>
    </row>
    <row r="4">
      <c r="A4" s="3" t="inlineStr">
        <is>
          <t>YMCA Cedar Glen</t>
        </is>
      </c>
      <c r="B4" s="3" t="n">
        <v>300</v>
      </c>
      <c r="C4" s="3" t="n">
        <v>60</v>
      </c>
      <c r="D4" s="3" t="n">
        <v>10</v>
      </c>
      <c r="E4" s="3" t="n">
        <v>10</v>
      </c>
      <c r="F4" s="3" t="n">
        <v>7</v>
      </c>
      <c r="G4" s="3" t="n">
        <v>50</v>
      </c>
      <c r="H4" s="3" t="n">
        <v>50</v>
      </c>
      <c r="I4" s="3" t="n">
        <v>35</v>
      </c>
      <c r="J4" s="3">
        <f>SUM(C4:F4)</f>
        <v/>
      </c>
      <c r="K4" s="3">
        <f>SUM(B4,G4:I4)</f>
        <v/>
      </c>
      <c r="L4" s="3" t="inlineStr">
        <is>
          <t>4.5 / 5</t>
        </is>
      </c>
      <c r="M4" s="3" t="inlineStr">
        <is>
          <t>HIGH FIVE certified, 8:1 ratio</t>
        </is>
      </c>
    </row>
    <row r="5">
      <c r="A5" s="3" t="inlineStr">
        <is>
          <t>City of Toronto</t>
        </is>
      </c>
      <c r="B5" s="3" t="n">
        <v>200</v>
      </c>
      <c r="C5" s="3" t="n">
        <v>40</v>
      </c>
      <c r="D5" s="3" t="n">
        <v>8</v>
      </c>
      <c r="E5" s="3" t="n">
        <v>8</v>
      </c>
      <c r="F5" s="3" t="n">
        <v>6</v>
      </c>
      <c r="G5" s="3" t="n">
        <v>40</v>
      </c>
      <c r="H5" s="3" t="n">
        <v>40</v>
      </c>
      <c r="I5" s="3" t="n">
        <v>30</v>
      </c>
      <c r="J5" s="3">
        <f>SUM(C5:F5)</f>
        <v/>
      </c>
      <c r="K5" s="3">
        <f>SUM(B5,G5:I5)</f>
        <v/>
      </c>
      <c r="L5" s="3" t="inlineStr">
        <is>
          <t>4.0 / 5</t>
        </is>
      </c>
      <c r="M5" s="3" t="inlineStr">
        <is>
          <t>Municipal program, subsidies available</t>
        </is>
      </c>
    </row>
    <row r="6">
      <c r="A6" s="3" t="inlineStr">
        <is>
          <t>Science Camp Toronto</t>
        </is>
      </c>
      <c r="B6" s="3" t="n">
        <v>350</v>
      </c>
      <c r="C6" s="3" t="n">
        <v>70</v>
      </c>
      <c r="D6" s="3" t="n">
        <v>10</v>
      </c>
      <c r="E6" s="3" t="n">
        <v>10</v>
      </c>
      <c r="F6" s="3" t="n">
        <v>0</v>
      </c>
      <c r="G6" s="3" t="n">
        <v>50</v>
      </c>
      <c r="H6" s="3" t="n">
        <v>50</v>
      </c>
      <c r="I6" s="3" t="n">
        <v>0</v>
      </c>
      <c r="J6" s="3">
        <f>SUM(C6:F6)</f>
        <v/>
      </c>
      <c r="K6" s="3">
        <f>SUM(B6,G6:I6)</f>
        <v/>
      </c>
      <c r="L6" s="3" t="inlineStr">
        <is>
          <t>4.3 / 5</t>
        </is>
      </c>
      <c r="M6" s="3" t="inlineStr">
        <is>
          <t>STEM focus, lunch included</t>
        </is>
      </c>
    </row>
    <row r="8">
      <c r="A8" s="4" t="inlineStr">
        <is>
          <t>8-Week Cost Comparison</t>
        </is>
      </c>
    </row>
    <row r="9">
      <c r="A9" s="2" t="inlineStr">
        <is>
          <t>Provider</t>
        </is>
      </c>
      <c r="B9" s="2" t="inlineStr">
        <is>
          <t>Camp Only</t>
        </is>
      </c>
      <c r="C9" s="2" t="inlineStr">
        <is>
          <t>+ Before/After</t>
        </is>
      </c>
      <c r="D9" s="2" t="inlineStr">
        <is>
          <t>+ Lunch</t>
        </is>
      </c>
      <c r="E9" s="2" t="inlineStr">
        <is>
          <t>Full 8-Week Cost</t>
        </is>
      </c>
    </row>
    <row r="10">
      <c r="A10" s="3">
        <f>A4</f>
        <v/>
      </c>
      <c r="B10" s="3">
        <f>B4*8</f>
        <v/>
      </c>
      <c r="C10" s="3">
        <f>(B4+G4+H4)*8</f>
        <v/>
      </c>
      <c r="D10" s="3">
        <f>K4*8</f>
        <v/>
      </c>
      <c r="E10" s="3">
        <f>D10</f>
        <v/>
      </c>
    </row>
    <row r="11">
      <c r="A11" s="3">
        <f>A5</f>
        <v/>
      </c>
      <c r="B11" s="3">
        <f>B5*8</f>
        <v/>
      </c>
      <c r="C11" s="3">
        <f>(B5+G5+H5)*8</f>
        <v/>
      </c>
      <c r="D11" s="3">
        <f>K5*8</f>
        <v/>
      </c>
      <c r="E11" s="3">
        <f>D11</f>
        <v/>
      </c>
    </row>
    <row r="12">
      <c r="A12" s="3">
        <f>A6</f>
        <v/>
      </c>
      <c r="B12" s="3">
        <f>B6*8</f>
        <v/>
      </c>
      <c r="C12" s="3">
        <f>(B6+G6+H6)*8</f>
        <v/>
      </c>
      <c r="D12" s="3">
        <f>K6*8</f>
        <v/>
      </c>
      <c r="E12" s="3">
        <f>D12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7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3" customWidth="1" min="16" max="16"/>
  </cols>
  <sheetData>
    <row r="1">
      <c r="A1" s="1" t="inlineStr">
        <is>
          <t>Summer 2025 Daily Schedule</t>
        </is>
      </c>
    </row>
    <row r="2">
      <c r="A2" s="5" t="inlineStr">
        <is>
          <t>User inputs: Date (A), Week# (C), Emma Camp (D), Liam Camp (J). Everything else is formula-driven.</t>
        </is>
      </c>
    </row>
    <row r="3">
      <c r="A3" s="2" t="inlineStr">
        <is>
          <t>Date</t>
        </is>
      </c>
      <c r="B3" s="2" t="inlineStr">
        <is>
          <t>Day</t>
        </is>
      </c>
      <c r="C3" s="2" t="inlineStr">
        <is>
          <t>Week#</t>
        </is>
      </c>
      <c r="D3" s="2" t="inlineStr">
        <is>
          <t>Emma's Camp</t>
        </is>
      </c>
      <c r="E3" s="2" t="inlineStr">
        <is>
          <t>Emma Before Care</t>
        </is>
      </c>
      <c r="F3" s="2" t="inlineStr">
        <is>
          <t>Emma Camp</t>
        </is>
      </c>
      <c r="G3" s="2" t="inlineStr">
        <is>
          <t>Emma After Care</t>
        </is>
      </c>
      <c r="H3" s="2" t="inlineStr">
        <is>
          <t>Emma Lunch</t>
        </is>
      </c>
      <c r="I3" s="2" t="inlineStr">
        <is>
          <t>Emma Day Total</t>
        </is>
      </c>
      <c r="J3" s="2" t="inlineStr">
        <is>
          <t>Liam's Camp</t>
        </is>
      </c>
      <c r="K3" s="2" t="inlineStr">
        <is>
          <t>Liam Before Care</t>
        </is>
      </c>
      <c r="L3" s="2" t="inlineStr">
        <is>
          <t>Liam Camp</t>
        </is>
      </c>
      <c r="M3" s="2" t="inlineStr">
        <is>
          <t>Liam After Care</t>
        </is>
      </c>
      <c r="N3" s="2" t="inlineStr">
        <is>
          <t>Liam Lunch</t>
        </is>
      </c>
      <c r="O3" s="2" t="inlineStr">
        <is>
          <t>Liam Day Total</t>
        </is>
      </c>
      <c r="P3" s="2" t="inlineStr">
        <is>
          <t>Daily Total</t>
        </is>
      </c>
    </row>
    <row r="4">
      <c r="A4" s="6" t="n">
        <v>45838</v>
      </c>
      <c r="B4" s="3">
        <f>TEXT(A4,"ddd")</f>
        <v/>
      </c>
      <c r="C4" s="3" t="n">
        <v>1</v>
      </c>
      <c r="D4" s="3" t="inlineStr">
        <is>
          <t>YMCA Cedar Glen</t>
        </is>
      </c>
      <c r="E4" s="3">
        <f>IF(D4="","",VLOOKUP(D4,'Provider Comparison'!$A$4:$M$6,4,FALSE))</f>
        <v/>
      </c>
      <c r="F4" s="3">
        <f>IF(D4="","",VLOOKUP(D4,'Provider Comparison'!$A$4:$M$6,3,FALSE))</f>
        <v/>
      </c>
      <c r="G4" s="3">
        <f>IF(D4="","",VLOOKUP(D4,'Provider Comparison'!$A$4:$M$6,5,FALSE))</f>
        <v/>
      </c>
      <c r="H4" s="3">
        <f>IF(D4="","",VLOOKUP(D4,'Provider Comparison'!$A$4:$M$6,6,FALSE))</f>
        <v/>
      </c>
      <c r="I4" s="3">
        <f>SUM(E4:H4)</f>
        <v/>
      </c>
      <c r="J4" s="3" t="inlineStr">
        <is>
          <t>YMCA Cedar Glen</t>
        </is>
      </c>
      <c r="K4" s="3">
        <f>IF(J4="","",VLOOKUP(J4,'Provider Comparison'!$A$4:$M$6,4,FALSE))</f>
        <v/>
      </c>
      <c r="L4" s="3">
        <f>IF(J4="","",VLOOKUP(J4,'Provider Comparison'!$A$4:$M$6,3,FALSE))</f>
        <v/>
      </c>
      <c r="M4" s="3">
        <f>IF(J4="","",VLOOKUP(J4,'Provider Comparison'!$A$4:$M$6,5,FALSE))</f>
        <v/>
      </c>
      <c r="N4" s="3">
        <f>IF(J4="","",VLOOKUP(J4,'Provider Comparison'!$A$4:$M$6,6,FALSE))</f>
        <v/>
      </c>
      <c r="O4" s="3">
        <f>SUM(K4:N4)</f>
        <v/>
      </c>
      <c r="P4" s="3">
        <f>I4+O4</f>
        <v/>
      </c>
    </row>
    <row r="5">
      <c r="A5" s="6" t="n">
        <v>45839</v>
      </c>
      <c r="B5" s="3">
        <f>TEXT(A5,"ddd")</f>
        <v/>
      </c>
      <c r="C5" s="3" t="n">
        <v>1</v>
      </c>
      <c r="D5" s="3" t="inlineStr">
        <is>
          <t>YMCA Cedar Glen</t>
        </is>
      </c>
      <c r="E5" s="3">
        <f>IF(D5="","",VLOOKUP(D5,'Provider Comparison'!$A$4:$M$6,4,FALSE))</f>
        <v/>
      </c>
      <c r="F5" s="3">
        <f>IF(D5="","",VLOOKUP(D5,'Provider Comparison'!$A$4:$M$6,3,FALSE))</f>
        <v/>
      </c>
      <c r="G5" s="3">
        <f>IF(D5="","",VLOOKUP(D5,'Provider Comparison'!$A$4:$M$6,5,FALSE))</f>
        <v/>
      </c>
      <c r="H5" s="3">
        <f>IF(D5="","",VLOOKUP(D5,'Provider Comparison'!$A$4:$M$6,6,FALSE))</f>
        <v/>
      </c>
      <c r="I5" s="3">
        <f>SUM(E5:H5)</f>
        <v/>
      </c>
      <c r="J5" s="3" t="inlineStr">
        <is>
          <t>YMCA Cedar Glen</t>
        </is>
      </c>
      <c r="K5" s="3">
        <f>IF(J5="","",VLOOKUP(J5,'Provider Comparison'!$A$4:$M$6,4,FALSE))</f>
        <v/>
      </c>
      <c r="L5" s="3">
        <f>IF(J5="","",VLOOKUP(J5,'Provider Comparison'!$A$4:$M$6,3,FALSE))</f>
        <v/>
      </c>
      <c r="M5" s="3">
        <f>IF(J5="","",VLOOKUP(J5,'Provider Comparison'!$A$4:$M$6,5,FALSE))</f>
        <v/>
      </c>
      <c r="N5" s="3">
        <f>IF(J5="","",VLOOKUP(J5,'Provider Comparison'!$A$4:$M$6,6,FALSE))</f>
        <v/>
      </c>
      <c r="O5" s="3">
        <f>SUM(K5:N5)</f>
        <v/>
      </c>
      <c r="P5" s="3">
        <f>I5+O5</f>
        <v/>
      </c>
    </row>
    <row r="6">
      <c r="A6" s="6" t="n">
        <v>45840</v>
      </c>
      <c r="B6" s="3">
        <f>TEXT(A6,"ddd")</f>
        <v/>
      </c>
      <c r="C6" s="3" t="n">
        <v>1</v>
      </c>
      <c r="D6" s="3" t="inlineStr">
        <is>
          <t>YMCA Cedar Glen</t>
        </is>
      </c>
      <c r="E6" s="3">
        <f>IF(D6="","",VLOOKUP(D6,'Provider Comparison'!$A$4:$M$6,4,FALSE))</f>
        <v/>
      </c>
      <c r="F6" s="3">
        <f>IF(D6="","",VLOOKUP(D6,'Provider Comparison'!$A$4:$M$6,3,FALSE))</f>
        <v/>
      </c>
      <c r="G6" s="3">
        <f>IF(D6="","",VLOOKUP(D6,'Provider Comparison'!$A$4:$M$6,5,FALSE))</f>
        <v/>
      </c>
      <c r="H6" s="3">
        <f>IF(D6="","",VLOOKUP(D6,'Provider Comparison'!$A$4:$M$6,6,FALSE))</f>
        <v/>
      </c>
      <c r="I6" s="3">
        <f>SUM(E6:H6)</f>
        <v/>
      </c>
      <c r="J6" s="3" t="inlineStr">
        <is>
          <t>YMCA Cedar Glen</t>
        </is>
      </c>
      <c r="K6" s="3">
        <f>IF(J6="","",VLOOKUP(J6,'Provider Comparison'!$A$4:$M$6,4,FALSE))</f>
        <v/>
      </c>
      <c r="L6" s="3">
        <f>IF(J6="","",VLOOKUP(J6,'Provider Comparison'!$A$4:$M$6,3,FALSE))</f>
        <v/>
      </c>
      <c r="M6" s="3">
        <f>IF(J6="","",VLOOKUP(J6,'Provider Comparison'!$A$4:$M$6,5,FALSE))</f>
        <v/>
      </c>
      <c r="N6" s="3">
        <f>IF(J6="","",VLOOKUP(J6,'Provider Comparison'!$A$4:$M$6,6,FALSE))</f>
        <v/>
      </c>
      <c r="O6" s="3">
        <f>SUM(K6:N6)</f>
        <v/>
      </c>
      <c r="P6" s="3">
        <f>I6+O6</f>
        <v/>
      </c>
    </row>
    <row r="7">
      <c r="A7" s="6" t="n">
        <v>45841</v>
      </c>
      <c r="B7" s="3">
        <f>TEXT(A7,"ddd")</f>
        <v/>
      </c>
      <c r="C7" s="3" t="n">
        <v>1</v>
      </c>
      <c r="D7" s="3" t="inlineStr">
        <is>
          <t>YMCA Cedar Glen</t>
        </is>
      </c>
      <c r="E7" s="3">
        <f>IF(D7="","",VLOOKUP(D7,'Provider Comparison'!$A$4:$M$6,4,FALSE))</f>
        <v/>
      </c>
      <c r="F7" s="3">
        <f>IF(D7="","",VLOOKUP(D7,'Provider Comparison'!$A$4:$M$6,3,FALSE))</f>
        <v/>
      </c>
      <c r="G7" s="3">
        <f>IF(D7="","",VLOOKUP(D7,'Provider Comparison'!$A$4:$M$6,5,FALSE))</f>
        <v/>
      </c>
      <c r="H7" s="3">
        <f>IF(D7="","",VLOOKUP(D7,'Provider Comparison'!$A$4:$M$6,6,FALSE))</f>
        <v/>
      </c>
      <c r="I7" s="3">
        <f>SUM(E7:H7)</f>
        <v/>
      </c>
      <c r="J7" s="3" t="inlineStr">
        <is>
          <t>YMCA Cedar Glen</t>
        </is>
      </c>
      <c r="K7" s="3">
        <f>IF(J7="","",VLOOKUP(J7,'Provider Comparison'!$A$4:$M$6,4,FALSE))</f>
        <v/>
      </c>
      <c r="L7" s="3">
        <f>IF(J7="","",VLOOKUP(J7,'Provider Comparison'!$A$4:$M$6,3,FALSE))</f>
        <v/>
      </c>
      <c r="M7" s="3">
        <f>IF(J7="","",VLOOKUP(J7,'Provider Comparison'!$A$4:$M$6,5,FALSE))</f>
        <v/>
      </c>
      <c r="N7" s="3">
        <f>IF(J7="","",VLOOKUP(J7,'Provider Comparison'!$A$4:$M$6,6,FALSE))</f>
        <v/>
      </c>
      <c r="O7" s="3">
        <f>SUM(K7:N7)</f>
        <v/>
      </c>
      <c r="P7" s="3">
        <f>I7+O7</f>
        <v/>
      </c>
    </row>
    <row r="8">
      <c r="A8" s="6" t="n">
        <v>45842</v>
      </c>
      <c r="B8" s="3">
        <f>TEXT(A8,"ddd")</f>
        <v/>
      </c>
      <c r="C8" s="3" t="n">
        <v>1</v>
      </c>
      <c r="D8" s="3" t="inlineStr">
        <is>
          <t>YMCA Cedar Glen</t>
        </is>
      </c>
      <c r="E8" s="3">
        <f>IF(D8="","",VLOOKUP(D8,'Provider Comparison'!$A$4:$M$6,4,FALSE))</f>
        <v/>
      </c>
      <c r="F8" s="3">
        <f>IF(D8="","",VLOOKUP(D8,'Provider Comparison'!$A$4:$M$6,3,FALSE))</f>
        <v/>
      </c>
      <c r="G8" s="3">
        <f>IF(D8="","",VLOOKUP(D8,'Provider Comparison'!$A$4:$M$6,5,FALSE))</f>
        <v/>
      </c>
      <c r="H8" s="3">
        <f>IF(D8="","",VLOOKUP(D8,'Provider Comparison'!$A$4:$M$6,6,FALSE))</f>
        <v/>
      </c>
      <c r="I8" s="3">
        <f>SUM(E8:H8)</f>
        <v/>
      </c>
      <c r="J8" s="3" t="inlineStr">
        <is>
          <t>YMCA Cedar Glen</t>
        </is>
      </c>
      <c r="K8" s="3">
        <f>IF(J8="","",VLOOKUP(J8,'Provider Comparison'!$A$4:$M$6,4,FALSE))</f>
        <v/>
      </c>
      <c r="L8" s="3">
        <f>IF(J8="","",VLOOKUP(J8,'Provider Comparison'!$A$4:$M$6,3,FALSE))</f>
        <v/>
      </c>
      <c r="M8" s="3">
        <f>IF(J8="","",VLOOKUP(J8,'Provider Comparison'!$A$4:$M$6,5,FALSE))</f>
        <v/>
      </c>
      <c r="N8" s="3">
        <f>IF(J8="","",VLOOKUP(J8,'Provider Comparison'!$A$4:$M$6,6,FALSE))</f>
        <v/>
      </c>
      <c r="O8" s="3">
        <f>SUM(K8:N8)</f>
        <v/>
      </c>
      <c r="P8" s="3">
        <f>I8+O8</f>
        <v/>
      </c>
    </row>
    <row r="9">
      <c r="A9" s="6" t="n">
        <v>45845</v>
      </c>
      <c r="B9" s="3">
        <f>TEXT(A9,"ddd")</f>
        <v/>
      </c>
      <c r="C9" s="3" t="n">
        <v>2</v>
      </c>
      <c r="D9" s="3" t="inlineStr">
        <is>
          <t>YMCA Cedar Glen</t>
        </is>
      </c>
      <c r="E9" s="3">
        <f>IF(D9="","",VLOOKUP(D9,'Provider Comparison'!$A$4:$M$6,4,FALSE))</f>
        <v/>
      </c>
      <c r="F9" s="3">
        <f>IF(D9="","",VLOOKUP(D9,'Provider Comparison'!$A$4:$M$6,3,FALSE))</f>
        <v/>
      </c>
      <c r="G9" s="3">
        <f>IF(D9="","",VLOOKUP(D9,'Provider Comparison'!$A$4:$M$6,5,FALSE))</f>
        <v/>
      </c>
      <c r="H9" s="3">
        <f>IF(D9="","",VLOOKUP(D9,'Provider Comparison'!$A$4:$M$6,6,FALSE))</f>
        <v/>
      </c>
      <c r="I9" s="3">
        <f>SUM(E9:H9)</f>
        <v/>
      </c>
      <c r="J9" s="3" t="inlineStr">
        <is>
          <t>YMCA Cedar Glen</t>
        </is>
      </c>
      <c r="K9" s="3">
        <f>IF(J9="","",VLOOKUP(J9,'Provider Comparison'!$A$4:$M$6,4,FALSE))</f>
        <v/>
      </c>
      <c r="L9" s="3">
        <f>IF(J9="","",VLOOKUP(J9,'Provider Comparison'!$A$4:$M$6,3,FALSE))</f>
        <v/>
      </c>
      <c r="M9" s="3">
        <f>IF(J9="","",VLOOKUP(J9,'Provider Comparison'!$A$4:$M$6,5,FALSE))</f>
        <v/>
      </c>
      <c r="N9" s="3">
        <f>IF(J9="","",VLOOKUP(J9,'Provider Comparison'!$A$4:$M$6,6,FALSE))</f>
        <v/>
      </c>
      <c r="O9" s="3">
        <f>SUM(K9:N9)</f>
        <v/>
      </c>
      <c r="P9" s="3">
        <f>I9+O9</f>
        <v/>
      </c>
    </row>
    <row r="10">
      <c r="A10" s="6" t="n">
        <v>45846</v>
      </c>
      <c r="B10" s="3">
        <f>TEXT(A10,"ddd")</f>
        <v/>
      </c>
      <c r="C10" s="3" t="n">
        <v>2</v>
      </c>
      <c r="D10" s="3" t="inlineStr">
        <is>
          <t>YMCA Cedar Glen</t>
        </is>
      </c>
      <c r="E10" s="3">
        <f>IF(D10="","",VLOOKUP(D10,'Provider Comparison'!$A$4:$M$6,4,FALSE))</f>
        <v/>
      </c>
      <c r="F10" s="3">
        <f>IF(D10="","",VLOOKUP(D10,'Provider Comparison'!$A$4:$M$6,3,FALSE))</f>
        <v/>
      </c>
      <c r="G10" s="3">
        <f>IF(D10="","",VLOOKUP(D10,'Provider Comparison'!$A$4:$M$6,5,FALSE))</f>
        <v/>
      </c>
      <c r="H10" s="3">
        <f>IF(D10="","",VLOOKUP(D10,'Provider Comparison'!$A$4:$M$6,6,FALSE))</f>
        <v/>
      </c>
      <c r="I10" s="3">
        <f>SUM(E10:H10)</f>
        <v/>
      </c>
      <c r="J10" s="3" t="inlineStr">
        <is>
          <t>YMCA Cedar Glen</t>
        </is>
      </c>
      <c r="K10" s="3">
        <f>IF(J10="","",VLOOKUP(J10,'Provider Comparison'!$A$4:$M$6,4,FALSE))</f>
        <v/>
      </c>
      <c r="L10" s="3">
        <f>IF(J10="","",VLOOKUP(J10,'Provider Comparison'!$A$4:$M$6,3,FALSE))</f>
        <v/>
      </c>
      <c r="M10" s="3">
        <f>IF(J10="","",VLOOKUP(J10,'Provider Comparison'!$A$4:$M$6,5,FALSE))</f>
        <v/>
      </c>
      <c r="N10" s="3">
        <f>IF(J10="","",VLOOKUP(J10,'Provider Comparison'!$A$4:$M$6,6,FALSE))</f>
        <v/>
      </c>
      <c r="O10" s="3">
        <f>SUM(K10:N10)</f>
        <v/>
      </c>
      <c r="P10" s="3">
        <f>I10+O10</f>
        <v/>
      </c>
    </row>
    <row r="11">
      <c r="A11" s="6" t="n">
        <v>45847</v>
      </c>
      <c r="B11" s="3">
        <f>TEXT(A11,"ddd")</f>
        <v/>
      </c>
      <c r="C11" s="3" t="n">
        <v>2</v>
      </c>
      <c r="D11" s="3" t="inlineStr">
        <is>
          <t>YMCA Cedar Glen</t>
        </is>
      </c>
      <c r="E11" s="3">
        <f>IF(D11="","",VLOOKUP(D11,'Provider Comparison'!$A$4:$M$6,4,FALSE))</f>
        <v/>
      </c>
      <c r="F11" s="3">
        <f>IF(D11="","",VLOOKUP(D11,'Provider Comparison'!$A$4:$M$6,3,FALSE))</f>
        <v/>
      </c>
      <c r="G11" s="3">
        <f>IF(D11="","",VLOOKUP(D11,'Provider Comparison'!$A$4:$M$6,5,FALSE))</f>
        <v/>
      </c>
      <c r="H11" s="3">
        <f>IF(D11="","",VLOOKUP(D11,'Provider Comparison'!$A$4:$M$6,6,FALSE))</f>
        <v/>
      </c>
      <c r="I11" s="3">
        <f>SUM(E11:H11)</f>
        <v/>
      </c>
      <c r="J11" s="3" t="inlineStr">
        <is>
          <t>YMCA Cedar Glen</t>
        </is>
      </c>
      <c r="K11" s="3">
        <f>IF(J11="","",VLOOKUP(J11,'Provider Comparison'!$A$4:$M$6,4,FALSE))</f>
        <v/>
      </c>
      <c r="L11" s="3">
        <f>IF(J11="","",VLOOKUP(J11,'Provider Comparison'!$A$4:$M$6,3,FALSE))</f>
        <v/>
      </c>
      <c r="M11" s="3">
        <f>IF(J11="","",VLOOKUP(J11,'Provider Comparison'!$A$4:$M$6,5,FALSE))</f>
        <v/>
      </c>
      <c r="N11" s="3">
        <f>IF(J11="","",VLOOKUP(J11,'Provider Comparison'!$A$4:$M$6,6,FALSE))</f>
        <v/>
      </c>
      <c r="O11" s="3">
        <f>SUM(K11:N11)</f>
        <v/>
      </c>
      <c r="P11" s="3">
        <f>I11+O11</f>
        <v/>
      </c>
    </row>
    <row r="12">
      <c r="A12" s="6" t="n">
        <v>45848</v>
      </c>
      <c r="B12" s="3">
        <f>TEXT(A12,"ddd")</f>
        <v/>
      </c>
      <c r="C12" s="3" t="n">
        <v>2</v>
      </c>
      <c r="D12" s="3" t="inlineStr">
        <is>
          <t>YMCA Cedar Glen</t>
        </is>
      </c>
      <c r="E12" s="3">
        <f>IF(D12="","",VLOOKUP(D12,'Provider Comparison'!$A$4:$M$6,4,FALSE))</f>
        <v/>
      </c>
      <c r="F12" s="3">
        <f>IF(D12="","",VLOOKUP(D12,'Provider Comparison'!$A$4:$M$6,3,FALSE))</f>
        <v/>
      </c>
      <c r="G12" s="3">
        <f>IF(D12="","",VLOOKUP(D12,'Provider Comparison'!$A$4:$M$6,5,FALSE))</f>
        <v/>
      </c>
      <c r="H12" s="3">
        <f>IF(D12="","",VLOOKUP(D12,'Provider Comparison'!$A$4:$M$6,6,FALSE))</f>
        <v/>
      </c>
      <c r="I12" s="3">
        <f>SUM(E12:H12)</f>
        <v/>
      </c>
      <c r="J12" s="3" t="inlineStr">
        <is>
          <t>YMCA Cedar Glen</t>
        </is>
      </c>
      <c r="K12" s="3">
        <f>IF(J12="","",VLOOKUP(J12,'Provider Comparison'!$A$4:$M$6,4,FALSE))</f>
        <v/>
      </c>
      <c r="L12" s="3">
        <f>IF(J12="","",VLOOKUP(J12,'Provider Comparison'!$A$4:$M$6,3,FALSE))</f>
        <v/>
      </c>
      <c r="M12" s="3">
        <f>IF(J12="","",VLOOKUP(J12,'Provider Comparison'!$A$4:$M$6,5,FALSE))</f>
        <v/>
      </c>
      <c r="N12" s="3">
        <f>IF(J12="","",VLOOKUP(J12,'Provider Comparison'!$A$4:$M$6,6,FALSE))</f>
        <v/>
      </c>
      <c r="O12" s="3">
        <f>SUM(K12:N12)</f>
        <v/>
      </c>
      <c r="P12" s="3">
        <f>I12+O12</f>
        <v/>
      </c>
    </row>
    <row r="13">
      <c r="A13" s="6" t="n">
        <v>45849</v>
      </c>
      <c r="B13" s="3">
        <f>TEXT(A13,"ddd")</f>
        <v/>
      </c>
      <c r="C13" s="3" t="n">
        <v>2</v>
      </c>
      <c r="D13" s="3" t="inlineStr">
        <is>
          <t>YMCA Cedar Glen</t>
        </is>
      </c>
      <c r="E13" s="3">
        <f>IF(D13="","",VLOOKUP(D13,'Provider Comparison'!$A$4:$M$6,4,FALSE))</f>
        <v/>
      </c>
      <c r="F13" s="3">
        <f>IF(D13="","",VLOOKUP(D13,'Provider Comparison'!$A$4:$M$6,3,FALSE))</f>
        <v/>
      </c>
      <c r="G13" s="3">
        <f>IF(D13="","",VLOOKUP(D13,'Provider Comparison'!$A$4:$M$6,5,FALSE))</f>
        <v/>
      </c>
      <c r="H13" s="3">
        <f>IF(D13="","",VLOOKUP(D13,'Provider Comparison'!$A$4:$M$6,6,FALSE))</f>
        <v/>
      </c>
      <c r="I13" s="3">
        <f>SUM(E13:H13)</f>
        <v/>
      </c>
      <c r="J13" s="3" t="inlineStr">
        <is>
          <t>YMCA Cedar Glen</t>
        </is>
      </c>
      <c r="K13" s="3">
        <f>IF(J13="","",VLOOKUP(J13,'Provider Comparison'!$A$4:$M$6,4,FALSE))</f>
        <v/>
      </c>
      <c r="L13" s="3">
        <f>IF(J13="","",VLOOKUP(J13,'Provider Comparison'!$A$4:$M$6,3,FALSE))</f>
        <v/>
      </c>
      <c r="M13" s="3">
        <f>IF(J13="","",VLOOKUP(J13,'Provider Comparison'!$A$4:$M$6,5,FALSE))</f>
        <v/>
      </c>
      <c r="N13" s="3">
        <f>IF(J13="","",VLOOKUP(J13,'Provider Comparison'!$A$4:$M$6,6,FALSE))</f>
        <v/>
      </c>
      <c r="O13" s="3">
        <f>SUM(K13:N13)</f>
        <v/>
      </c>
      <c r="P13" s="3">
        <f>I13+O13</f>
        <v/>
      </c>
    </row>
    <row r="14">
      <c r="A14" s="6" t="n">
        <v>45852</v>
      </c>
      <c r="B14" s="3">
        <f>TEXT(A14,"ddd")</f>
        <v/>
      </c>
      <c r="C14" s="3" t="n">
        <v>3</v>
      </c>
      <c r="D14" s="3" t="inlineStr">
        <is>
          <t>YMCA Cedar Glen</t>
        </is>
      </c>
      <c r="E14" s="3">
        <f>IF(D14="","",VLOOKUP(D14,'Provider Comparison'!$A$4:$M$6,4,FALSE))</f>
        <v/>
      </c>
      <c r="F14" s="3">
        <f>IF(D14="","",VLOOKUP(D14,'Provider Comparison'!$A$4:$M$6,3,FALSE))</f>
        <v/>
      </c>
      <c r="G14" s="3">
        <f>IF(D14="","",VLOOKUP(D14,'Provider Comparison'!$A$4:$M$6,5,FALSE))</f>
        <v/>
      </c>
      <c r="H14" s="3">
        <f>IF(D14="","",VLOOKUP(D14,'Provider Comparison'!$A$4:$M$6,6,FALSE))</f>
        <v/>
      </c>
      <c r="I14" s="3">
        <f>SUM(E14:H14)</f>
        <v/>
      </c>
      <c r="J14" s="3" t="inlineStr">
        <is>
          <t>YMCA Cedar Glen</t>
        </is>
      </c>
      <c r="K14" s="3">
        <f>IF(J14="","",VLOOKUP(J14,'Provider Comparison'!$A$4:$M$6,4,FALSE))</f>
        <v/>
      </c>
      <c r="L14" s="3">
        <f>IF(J14="","",VLOOKUP(J14,'Provider Comparison'!$A$4:$M$6,3,FALSE))</f>
        <v/>
      </c>
      <c r="M14" s="3">
        <f>IF(J14="","",VLOOKUP(J14,'Provider Comparison'!$A$4:$M$6,5,FALSE))</f>
        <v/>
      </c>
      <c r="N14" s="3">
        <f>IF(J14="","",VLOOKUP(J14,'Provider Comparison'!$A$4:$M$6,6,FALSE))</f>
        <v/>
      </c>
      <c r="O14" s="3">
        <f>SUM(K14:N14)</f>
        <v/>
      </c>
      <c r="P14" s="3">
        <f>I14+O14</f>
        <v/>
      </c>
    </row>
    <row r="15">
      <c r="A15" s="6" t="n">
        <v>45853</v>
      </c>
      <c r="B15" s="3">
        <f>TEXT(A15,"ddd")</f>
        <v/>
      </c>
      <c r="C15" s="3" t="n">
        <v>3</v>
      </c>
      <c r="D15" s="3" t="inlineStr">
        <is>
          <t>YMCA Cedar Glen</t>
        </is>
      </c>
      <c r="E15" s="3">
        <f>IF(D15="","",VLOOKUP(D15,'Provider Comparison'!$A$4:$M$6,4,FALSE))</f>
        <v/>
      </c>
      <c r="F15" s="3">
        <f>IF(D15="","",VLOOKUP(D15,'Provider Comparison'!$A$4:$M$6,3,FALSE))</f>
        <v/>
      </c>
      <c r="G15" s="3">
        <f>IF(D15="","",VLOOKUP(D15,'Provider Comparison'!$A$4:$M$6,5,FALSE))</f>
        <v/>
      </c>
      <c r="H15" s="3">
        <f>IF(D15="","",VLOOKUP(D15,'Provider Comparison'!$A$4:$M$6,6,FALSE))</f>
        <v/>
      </c>
      <c r="I15" s="3">
        <f>SUM(E15:H15)</f>
        <v/>
      </c>
      <c r="J15" s="3" t="inlineStr">
        <is>
          <t>YMCA Cedar Glen</t>
        </is>
      </c>
      <c r="K15" s="3">
        <f>IF(J15="","",VLOOKUP(J15,'Provider Comparison'!$A$4:$M$6,4,FALSE))</f>
        <v/>
      </c>
      <c r="L15" s="3">
        <f>IF(J15="","",VLOOKUP(J15,'Provider Comparison'!$A$4:$M$6,3,FALSE))</f>
        <v/>
      </c>
      <c r="M15" s="3">
        <f>IF(J15="","",VLOOKUP(J15,'Provider Comparison'!$A$4:$M$6,5,FALSE))</f>
        <v/>
      </c>
      <c r="N15" s="3">
        <f>IF(J15="","",VLOOKUP(J15,'Provider Comparison'!$A$4:$M$6,6,FALSE))</f>
        <v/>
      </c>
      <c r="O15" s="3">
        <f>SUM(K15:N15)</f>
        <v/>
      </c>
      <c r="P15" s="3">
        <f>I15+O15</f>
        <v/>
      </c>
    </row>
    <row r="16">
      <c r="A16" s="6" t="n">
        <v>45854</v>
      </c>
      <c r="B16" s="3">
        <f>TEXT(A16,"ddd")</f>
        <v/>
      </c>
      <c r="C16" s="3" t="n">
        <v>3</v>
      </c>
      <c r="D16" s="3" t="inlineStr">
        <is>
          <t>YMCA Cedar Glen</t>
        </is>
      </c>
      <c r="E16" s="3">
        <f>IF(D16="","",VLOOKUP(D16,'Provider Comparison'!$A$4:$M$6,4,FALSE))</f>
        <v/>
      </c>
      <c r="F16" s="3">
        <f>IF(D16="","",VLOOKUP(D16,'Provider Comparison'!$A$4:$M$6,3,FALSE))</f>
        <v/>
      </c>
      <c r="G16" s="3">
        <f>IF(D16="","",VLOOKUP(D16,'Provider Comparison'!$A$4:$M$6,5,FALSE))</f>
        <v/>
      </c>
      <c r="H16" s="3">
        <f>IF(D16="","",VLOOKUP(D16,'Provider Comparison'!$A$4:$M$6,6,FALSE))</f>
        <v/>
      </c>
      <c r="I16" s="3">
        <f>SUM(E16:H16)</f>
        <v/>
      </c>
      <c r="J16" s="3" t="inlineStr">
        <is>
          <t>YMCA Cedar Glen</t>
        </is>
      </c>
      <c r="K16" s="3">
        <f>IF(J16="","",VLOOKUP(J16,'Provider Comparison'!$A$4:$M$6,4,FALSE))</f>
        <v/>
      </c>
      <c r="L16" s="3">
        <f>IF(J16="","",VLOOKUP(J16,'Provider Comparison'!$A$4:$M$6,3,FALSE))</f>
        <v/>
      </c>
      <c r="M16" s="3">
        <f>IF(J16="","",VLOOKUP(J16,'Provider Comparison'!$A$4:$M$6,5,FALSE))</f>
        <v/>
      </c>
      <c r="N16" s="3">
        <f>IF(J16="","",VLOOKUP(J16,'Provider Comparison'!$A$4:$M$6,6,FALSE))</f>
        <v/>
      </c>
      <c r="O16" s="3">
        <f>SUM(K16:N16)</f>
        <v/>
      </c>
      <c r="P16" s="3">
        <f>I16+O16</f>
        <v/>
      </c>
    </row>
    <row r="17">
      <c r="A17" s="6" t="n">
        <v>45855</v>
      </c>
      <c r="B17" s="3">
        <f>TEXT(A17,"ddd")</f>
        <v/>
      </c>
      <c r="C17" s="3" t="n">
        <v>3</v>
      </c>
      <c r="D17" s="3" t="inlineStr">
        <is>
          <t>YMCA Cedar Glen</t>
        </is>
      </c>
      <c r="E17" s="3">
        <f>IF(D17="","",VLOOKUP(D17,'Provider Comparison'!$A$4:$M$6,4,FALSE))</f>
        <v/>
      </c>
      <c r="F17" s="3">
        <f>IF(D17="","",VLOOKUP(D17,'Provider Comparison'!$A$4:$M$6,3,FALSE))</f>
        <v/>
      </c>
      <c r="G17" s="3">
        <f>IF(D17="","",VLOOKUP(D17,'Provider Comparison'!$A$4:$M$6,5,FALSE))</f>
        <v/>
      </c>
      <c r="H17" s="3">
        <f>IF(D17="","",VLOOKUP(D17,'Provider Comparison'!$A$4:$M$6,6,FALSE))</f>
        <v/>
      </c>
      <c r="I17" s="3">
        <f>SUM(E17:H17)</f>
        <v/>
      </c>
      <c r="J17" s="3" t="inlineStr">
        <is>
          <t>YMCA Cedar Glen</t>
        </is>
      </c>
      <c r="K17" s="3">
        <f>IF(J17="","",VLOOKUP(J17,'Provider Comparison'!$A$4:$M$6,4,FALSE))</f>
        <v/>
      </c>
      <c r="L17" s="3">
        <f>IF(J17="","",VLOOKUP(J17,'Provider Comparison'!$A$4:$M$6,3,FALSE))</f>
        <v/>
      </c>
      <c r="M17" s="3">
        <f>IF(J17="","",VLOOKUP(J17,'Provider Comparison'!$A$4:$M$6,5,FALSE))</f>
        <v/>
      </c>
      <c r="N17" s="3">
        <f>IF(J17="","",VLOOKUP(J17,'Provider Comparison'!$A$4:$M$6,6,FALSE))</f>
        <v/>
      </c>
      <c r="O17" s="3">
        <f>SUM(K17:N17)</f>
        <v/>
      </c>
      <c r="P17" s="3">
        <f>I17+O17</f>
        <v/>
      </c>
    </row>
    <row r="18">
      <c r="A18" s="6" t="n">
        <v>45856</v>
      </c>
      <c r="B18" s="3">
        <f>TEXT(A18,"ddd")</f>
        <v/>
      </c>
      <c r="C18" s="3" t="n">
        <v>3</v>
      </c>
      <c r="D18" s="3" t="inlineStr">
        <is>
          <t>YMCA Cedar Glen</t>
        </is>
      </c>
      <c r="E18" s="3">
        <f>IF(D18="","",VLOOKUP(D18,'Provider Comparison'!$A$4:$M$6,4,FALSE))</f>
        <v/>
      </c>
      <c r="F18" s="3">
        <f>IF(D18="","",VLOOKUP(D18,'Provider Comparison'!$A$4:$M$6,3,FALSE))</f>
        <v/>
      </c>
      <c r="G18" s="3">
        <f>IF(D18="","",VLOOKUP(D18,'Provider Comparison'!$A$4:$M$6,5,FALSE))</f>
        <v/>
      </c>
      <c r="H18" s="3">
        <f>IF(D18="","",VLOOKUP(D18,'Provider Comparison'!$A$4:$M$6,6,FALSE))</f>
        <v/>
      </c>
      <c r="I18" s="3">
        <f>SUM(E18:H18)</f>
        <v/>
      </c>
      <c r="J18" s="3" t="inlineStr">
        <is>
          <t>YMCA Cedar Glen</t>
        </is>
      </c>
      <c r="K18" s="3">
        <f>IF(J18="","",VLOOKUP(J18,'Provider Comparison'!$A$4:$M$6,4,FALSE))</f>
        <v/>
      </c>
      <c r="L18" s="3">
        <f>IF(J18="","",VLOOKUP(J18,'Provider Comparison'!$A$4:$M$6,3,FALSE))</f>
        <v/>
      </c>
      <c r="M18" s="3">
        <f>IF(J18="","",VLOOKUP(J18,'Provider Comparison'!$A$4:$M$6,5,FALSE))</f>
        <v/>
      </c>
      <c r="N18" s="3">
        <f>IF(J18="","",VLOOKUP(J18,'Provider Comparison'!$A$4:$M$6,6,FALSE))</f>
        <v/>
      </c>
      <c r="O18" s="3">
        <f>SUM(K18:N18)</f>
        <v/>
      </c>
      <c r="P18" s="3">
        <f>I18+O18</f>
        <v/>
      </c>
    </row>
    <row r="19">
      <c r="A19" s="6" t="n">
        <v>45859</v>
      </c>
      <c r="B19" s="3">
        <f>TEXT(A19,"ddd")</f>
        <v/>
      </c>
      <c r="C19" s="3" t="n">
        <v>4</v>
      </c>
      <c r="D19" s="3" t="inlineStr">
        <is>
          <t>City of Toronto</t>
        </is>
      </c>
      <c r="E19" s="3">
        <f>IF(D19="","",VLOOKUP(D19,'Provider Comparison'!$A$4:$M$6,4,FALSE))</f>
        <v/>
      </c>
      <c r="F19" s="3">
        <f>IF(D19="","",VLOOKUP(D19,'Provider Comparison'!$A$4:$M$6,3,FALSE))</f>
        <v/>
      </c>
      <c r="G19" s="3">
        <f>IF(D19="","",VLOOKUP(D19,'Provider Comparison'!$A$4:$M$6,5,FALSE))</f>
        <v/>
      </c>
      <c r="H19" s="3">
        <f>IF(D19="","",VLOOKUP(D19,'Provider Comparison'!$A$4:$M$6,6,FALSE))</f>
        <v/>
      </c>
      <c r="I19" s="3">
        <f>SUM(E19:H19)</f>
        <v/>
      </c>
      <c r="J19" s="3" t="inlineStr">
        <is>
          <t>City of Toronto</t>
        </is>
      </c>
      <c r="K19" s="3">
        <f>IF(J19="","",VLOOKUP(J19,'Provider Comparison'!$A$4:$M$6,4,FALSE))</f>
        <v/>
      </c>
      <c r="L19" s="3">
        <f>IF(J19="","",VLOOKUP(J19,'Provider Comparison'!$A$4:$M$6,3,FALSE))</f>
        <v/>
      </c>
      <c r="M19" s="3">
        <f>IF(J19="","",VLOOKUP(J19,'Provider Comparison'!$A$4:$M$6,5,FALSE))</f>
        <v/>
      </c>
      <c r="N19" s="3">
        <f>IF(J19="","",VLOOKUP(J19,'Provider Comparison'!$A$4:$M$6,6,FALSE))</f>
        <v/>
      </c>
      <c r="O19" s="3">
        <f>SUM(K19:N19)</f>
        <v/>
      </c>
      <c r="P19" s="3">
        <f>I19+O19</f>
        <v/>
      </c>
    </row>
    <row r="20">
      <c r="A20" s="6" t="n">
        <v>45860</v>
      </c>
      <c r="B20" s="3">
        <f>TEXT(A20,"ddd")</f>
        <v/>
      </c>
      <c r="C20" s="3" t="n">
        <v>4</v>
      </c>
      <c r="D20" s="3" t="inlineStr">
        <is>
          <t>City of Toronto</t>
        </is>
      </c>
      <c r="E20" s="3">
        <f>IF(D20="","",VLOOKUP(D20,'Provider Comparison'!$A$4:$M$6,4,FALSE))</f>
        <v/>
      </c>
      <c r="F20" s="3">
        <f>IF(D20="","",VLOOKUP(D20,'Provider Comparison'!$A$4:$M$6,3,FALSE))</f>
        <v/>
      </c>
      <c r="G20" s="3">
        <f>IF(D20="","",VLOOKUP(D20,'Provider Comparison'!$A$4:$M$6,5,FALSE))</f>
        <v/>
      </c>
      <c r="H20" s="3">
        <f>IF(D20="","",VLOOKUP(D20,'Provider Comparison'!$A$4:$M$6,6,FALSE))</f>
        <v/>
      </c>
      <c r="I20" s="3">
        <f>SUM(E20:H20)</f>
        <v/>
      </c>
      <c r="J20" s="3" t="inlineStr">
        <is>
          <t>City of Toronto</t>
        </is>
      </c>
      <c r="K20" s="3">
        <f>IF(J20="","",VLOOKUP(J20,'Provider Comparison'!$A$4:$M$6,4,FALSE))</f>
        <v/>
      </c>
      <c r="L20" s="3">
        <f>IF(J20="","",VLOOKUP(J20,'Provider Comparison'!$A$4:$M$6,3,FALSE))</f>
        <v/>
      </c>
      <c r="M20" s="3">
        <f>IF(J20="","",VLOOKUP(J20,'Provider Comparison'!$A$4:$M$6,5,FALSE))</f>
        <v/>
      </c>
      <c r="N20" s="3">
        <f>IF(J20="","",VLOOKUP(J20,'Provider Comparison'!$A$4:$M$6,6,FALSE))</f>
        <v/>
      </c>
      <c r="O20" s="3">
        <f>SUM(K20:N20)</f>
        <v/>
      </c>
      <c r="P20" s="3">
        <f>I20+O20</f>
        <v/>
      </c>
    </row>
    <row r="21">
      <c r="A21" s="6" t="n">
        <v>45861</v>
      </c>
      <c r="B21" s="3">
        <f>TEXT(A21,"ddd")</f>
        <v/>
      </c>
      <c r="C21" s="3" t="n">
        <v>4</v>
      </c>
      <c r="D21" s="3" t="inlineStr">
        <is>
          <t>City of Toronto</t>
        </is>
      </c>
      <c r="E21" s="3">
        <f>IF(D21="","",VLOOKUP(D21,'Provider Comparison'!$A$4:$M$6,4,FALSE))</f>
        <v/>
      </c>
      <c r="F21" s="3">
        <f>IF(D21="","",VLOOKUP(D21,'Provider Comparison'!$A$4:$M$6,3,FALSE))</f>
        <v/>
      </c>
      <c r="G21" s="3">
        <f>IF(D21="","",VLOOKUP(D21,'Provider Comparison'!$A$4:$M$6,5,FALSE))</f>
        <v/>
      </c>
      <c r="H21" s="3">
        <f>IF(D21="","",VLOOKUP(D21,'Provider Comparison'!$A$4:$M$6,6,FALSE))</f>
        <v/>
      </c>
      <c r="I21" s="3">
        <f>SUM(E21:H21)</f>
        <v/>
      </c>
      <c r="J21" s="3" t="inlineStr">
        <is>
          <t>City of Toronto</t>
        </is>
      </c>
      <c r="K21" s="3">
        <f>IF(J21="","",VLOOKUP(J21,'Provider Comparison'!$A$4:$M$6,4,FALSE))</f>
        <v/>
      </c>
      <c r="L21" s="3">
        <f>IF(J21="","",VLOOKUP(J21,'Provider Comparison'!$A$4:$M$6,3,FALSE))</f>
        <v/>
      </c>
      <c r="M21" s="3">
        <f>IF(J21="","",VLOOKUP(J21,'Provider Comparison'!$A$4:$M$6,5,FALSE))</f>
        <v/>
      </c>
      <c r="N21" s="3">
        <f>IF(J21="","",VLOOKUP(J21,'Provider Comparison'!$A$4:$M$6,6,FALSE))</f>
        <v/>
      </c>
      <c r="O21" s="3">
        <f>SUM(K21:N21)</f>
        <v/>
      </c>
      <c r="P21" s="3">
        <f>I21+O21</f>
        <v/>
      </c>
    </row>
    <row r="22">
      <c r="A22" s="6" t="n">
        <v>45862</v>
      </c>
      <c r="B22" s="3">
        <f>TEXT(A22,"ddd")</f>
        <v/>
      </c>
      <c r="C22" s="3" t="n">
        <v>4</v>
      </c>
      <c r="D22" s="3" t="inlineStr">
        <is>
          <t>City of Toronto</t>
        </is>
      </c>
      <c r="E22" s="3">
        <f>IF(D22="","",VLOOKUP(D22,'Provider Comparison'!$A$4:$M$6,4,FALSE))</f>
        <v/>
      </c>
      <c r="F22" s="3">
        <f>IF(D22="","",VLOOKUP(D22,'Provider Comparison'!$A$4:$M$6,3,FALSE))</f>
        <v/>
      </c>
      <c r="G22" s="3">
        <f>IF(D22="","",VLOOKUP(D22,'Provider Comparison'!$A$4:$M$6,5,FALSE))</f>
        <v/>
      </c>
      <c r="H22" s="3">
        <f>IF(D22="","",VLOOKUP(D22,'Provider Comparison'!$A$4:$M$6,6,FALSE))</f>
        <v/>
      </c>
      <c r="I22" s="3">
        <f>SUM(E22:H22)</f>
        <v/>
      </c>
      <c r="J22" s="3" t="inlineStr">
        <is>
          <t>City of Toronto</t>
        </is>
      </c>
      <c r="K22" s="3">
        <f>IF(J22="","",VLOOKUP(J22,'Provider Comparison'!$A$4:$M$6,4,FALSE))</f>
        <v/>
      </c>
      <c r="L22" s="3">
        <f>IF(J22="","",VLOOKUP(J22,'Provider Comparison'!$A$4:$M$6,3,FALSE))</f>
        <v/>
      </c>
      <c r="M22" s="3">
        <f>IF(J22="","",VLOOKUP(J22,'Provider Comparison'!$A$4:$M$6,5,FALSE))</f>
        <v/>
      </c>
      <c r="N22" s="3">
        <f>IF(J22="","",VLOOKUP(J22,'Provider Comparison'!$A$4:$M$6,6,FALSE))</f>
        <v/>
      </c>
      <c r="O22" s="3">
        <f>SUM(K22:N22)</f>
        <v/>
      </c>
      <c r="P22" s="3">
        <f>I22+O22</f>
        <v/>
      </c>
    </row>
    <row r="23">
      <c r="A23" s="6" t="n">
        <v>45863</v>
      </c>
      <c r="B23" s="3">
        <f>TEXT(A23,"ddd")</f>
        <v/>
      </c>
      <c r="C23" s="3" t="n">
        <v>4</v>
      </c>
      <c r="D23" s="3" t="inlineStr">
        <is>
          <t>City of Toronto</t>
        </is>
      </c>
      <c r="E23" s="3">
        <f>IF(D23="","",VLOOKUP(D23,'Provider Comparison'!$A$4:$M$6,4,FALSE))</f>
        <v/>
      </c>
      <c r="F23" s="3">
        <f>IF(D23="","",VLOOKUP(D23,'Provider Comparison'!$A$4:$M$6,3,FALSE))</f>
        <v/>
      </c>
      <c r="G23" s="3">
        <f>IF(D23="","",VLOOKUP(D23,'Provider Comparison'!$A$4:$M$6,5,FALSE))</f>
        <v/>
      </c>
      <c r="H23" s="3">
        <f>IF(D23="","",VLOOKUP(D23,'Provider Comparison'!$A$4:$M$6,6,FALSE))</f>
        <v/>
      </c>
      <c r="I23" s="3">
        <f>SUM(E23:H23)</f>
        <v/>
      </c>
      <c r="J23" s="3" t="inlineStr">
        <is>
          <t>City of Toronto</t>
        </is>
      </c>
      <c r="K23" s="3">
        <f>IF(J23="","",VLOOKUP(J23,'Provider Comparison'!$A$4:$M$6,4,FALSE))</f>
        <v/>
      </c>
      <c r="L23" s="3">
        <f>IF(J23="","",VLOOKUP(J23,'Provider Comparison'!$A$4:$M$6,3,FALSE))</f>
        <v/>
      </c>
      <c r="M23" s="3">
        <f>IF(J23="","",VLOOKUP(J23,'Provider Comparison'!$A$4:$M$6,5,FALSE))</f>
        <v/>
      </c>
      <c r="N23" s="3">
        <f>IF(J23="","",VLOOKUP(J23,'Provider Comparison'!$A$4:$M$6,6,FALSE))</f>
        <v/>
      </c>
      <c r="O23" s="3">
        <f>SUM(K23:N23)</f>
        <v/>
      </c>
      <c r="P23" s="3">
        <f>I23+O23</f>
        <v/>
      </c>
    </row>
    <row r="24">
      <c r="A24" s="6" t="n">
        <v>45866</v>
      </c>
      <c r="B24" s="3">
        <f>TEXT(A24,"ddd")</f>
        <v/>
      </c>
      <c r="C24" s="3" t="n">
        <v>5</v>
      </c>
      <c r="D24" s="3" t="inlineStr">
        <is>
          <t>YMCA Cedar Glen</t>
        </is>
      </c>
      <c r="E24" s="3">
        <f>IF(D24="","",VLOOKUP(D24,'Provider Comparison'!$A$4:$M$6,4,FALSE))</f>
        <v/>
      </c>
      <c r="F24" s="3">
        <f>IF(D24="","",VLOOKUP(D24,'Provider Comparison'!$A$4:$M$6,3,FALSE))</f>
        <v/>
      </c>
      <c r="G24" s="3">
        <f>IF(D24="","",VLOOKUP(D24,'Provider Comparison'!$A$4:$M$6,5,FALSE))</f>
        <v/>
      </c>
      <c r="H24" s="3">
        <f>IF(D24="","",VLOOKUP(D24,'Provider Comparison'!$A$4:$M$6,6,FALSE))</f>
        <v/>
      </c>
      <c r="I24" s="3">
        <f>SUM(E24:H24)</f>
        <v/>
      </c>
      <c r="J24" s="3" t="inlineStr">
        <is>
          <t>YMCA Cedar Glen</t>
        </is>
      </c>
      <c r="K24" s="3">
        <f>IF(J24="","",VLOOKUP(J24,'Provider Comparison'!$A$4:$M$6,4,FALSE))</f>
        <v/>
      </c>
      <c r="L24" s="3">
        <f>IF(J24="","",VLOOKUP(J24,'Provider Comparison'!$A$4:$M$6,3,FALSE))</f>
        <v/>
      </c>
      <c r="M24" s="3">
        <f>IF(J24="","",VLOOKUP(J24,'Provider Comparison'!$A$4:$M$6,5,FALSE))</f>
        <v/>
      </c>
      <c r="N24" s="3">
        <f>IF(J24="","",VLOOKUP(J24,'Provider Comparison'!$A$4:$M$6,6,FALSE))</f>
        <v/>
      </c>
      <c r="O24" s="3">
        <f>SUM(K24:N24)</f>
        <v/>
      </c>
      <c r="P24" s="3">
        <f>I24+O24</f>
        <v/>
      </c>
    </row>
    <row r="25">
      <c r="A25" s="6" t="n">
        <v>45867</v>
      </c>
      <c r="B25" s="3">
        <f>TEXT(A25,"ddd")</f>
        <v/>
      </c>
      <c r="C25" s="3" t="n">
        <v>5</v>
      </c>
      <c r="D25" s="3" t="inlineStr">
        <is>
          <t>YMCA Cedar Glen</t>
        </is>
      </c>
      <c r="E25" s="3">
        <f>IF(D25="","",VLOOKUP(D25,'Provider Comparison'!$A$4:$M$6,4,FALSE))</f>
        <v/>
      </c>
      <c r="F25" s="3">
        <f>IF(D25="","",VLOOKUP(D25,'Provider Comparison'!$A$4:$M$6,3,FALSE))</f>
        <v/>
      </c>
      <c r="G25" s="3">
        <f>IF(D25="","",VLOOKUP(D25,'Provider Comparison'!$A$4:$M$6,5,FALSE))</f>
        <v/>
      </c>
      <c r="H25" s="3">
        <f>IF(D25="","",VLOOKUP(D25,'Provider Comparison'!$A$4:$M$6,6,FALSE))</f>
        <v/>
      </c>
      <c r="I25" s="3">
        <f>SUM(E25:H25)</f>
        <v/>
      </c>
      <c r="J25" s="3" t="inlineStr">
        <is>
          <t>YMCA Cedar Glen</t>
        </is>
      </c>
      <c r="K25" s="3">
        <f>IF(J25="","",VLOOKUP(J25,'Provider Comparison'!$A$4:$M$6,4,FALSE))</f>
        <v/>
      </c>
      <c r="L25" s="3">
        <f>IF(J25="","",VLOOKUP(J25,'Provider Comparison'!$A$4:$M$6,3,FALSE))</f>
        <v/>
      </c>
      <c r="M25" s="3">
        <f>IF(J25="","",VLOOKUP(J25,'Provider Comparison'!$A$4:$M$6,5,FALSE))</f>
        <v/>
      </c>
      <c r="N25" s="3">
        <f>IF(J25="","",VLOOKUP(J25,'Provider Comparison'!$A$4:$M$6,6,FALSE))</f>
        <v/>
      </c>
      <c r="O25" s="3">
        <f>SUM(K25:N25)</f>
        <v/>
      </c>
      <c r="P25" s="3">
        <f>I25+O25</f>
        <v/>
      </c>
    </row>
    <row r="26">
      <c r="A26" s="6" t="n">
        <v>45868</v>
      </c>
      <c r="B26" s="3">
        <f>TEXT(A26,"ddd")</f>
        <v/>
      </c>
      <c r="C26" s="3" t="n">
        <v>5</v>
      </c>
      <c r="D26" s="3" t="inlineStr">
        <is>
          <t>YMCA Cedar Glen</t>
        </is>
      </c>
      <c r="E26" s="3">
        <f>IF(D26="","",VLOOKUP(D26,'Provider Comparison'!$A$4:$M$6,4,FALSE))</f>
        <v/>
      </c>
      <c r="F26" s="3">
        <f>IF(D26="","",VLOOKUP(D26,'Provider Comparison'!$A$4:$M$6,3,FALSE))</f>
        <v/>
      </c>
      <c r="G26" s="3">
        <f>IF(D26="","",VLOOKUP(D26,'Provider Comparison'!$A$4:$M$6,5,FALSE))</f>
        <v/>
      </c>
      <c r="H26" s="3">
        <f>IF(D26="","",VLOOKUP(D26,'Provider Comparison'!$A$4:$M$6,6,FALSE))</f>
        <v/>
      </c>
      <c r="I26" s="3">
        <f>SUM(E26:H26)</f>
        <v/>
      </c>
      <c r="J26" s="3" t="inlineStr">
        <is>
          <t>YMCA Cedar Glen</t>
        </is>
      </c>
      <c r="K26" s="3">
        <f>IF(J26="","",VLOOKUP(J26,'Provider Comparison'!$A$4:$M$6,4,FALSE))</f>
        <v/>
      </c>
      <c r="L26" s="3">
        <f>IF(J26="","",VLOOKUP(J26,'Provider Comparison'!$A$4:$M$6,3,FALSE))</f>
        <v/>
      </c>
      <c r="M26" s="3">
        <f>IF(J26="","",VLOOKUP(J26,'Provider Comparison'!$A$4:$M$6,5,FALSE))</f>
        <v/>
      </c>
      <c r="N26" s="3">
        <f>IF(J26="","",VLOOKUP(J26,'Provider Comparison'!$A$4:$M$6,6,FALSE))</f>
        <v/>
      </c>
      <c r="O26" s="3">
        <f>SUM(K26:N26)</f>
        <v/>
      </c>
      <c r="P26" s="3">
        <f>I26+O26</f>
        <v/>
      </c>
    </row>
    <row r="27">
      <c r="A27" s="6" t="n">
        <v>45869</v>
      </c>
      <c r="B27" s="3">
        <f>TEXT(A27,"ddd")</f>
        <v/>
      </c>
      <c r="C27" s="3" t="n">
        <v>5</v>
      </c>
      <c r="D27" s="3" t="inlineStr">
        <is>
          <t>YMCA Cedar Glen</t>
        </is>
      </c>
      <c r="E27" s="3">
        <f>IF(D27="","",VLOOKUP(D27,'Provider Comparison'!$A$4:$M$6,4,FALSE))</f>
        <v/>
      </c>
      <c r="F27" s="3">
        <f>IF(D27="","",VLOOKUP(D27,'Provider Comparison'!$A$4:$M$6,3,FALSE))</f>
        <v/>
      </c>
      <c r="G27" s="3">
        <f>IF(D27="","",VLOOKUP(D27,'Provider Comparison'!$A$4:$M$6,5,FALSE))</f>
        <v/>
      </c>
      <c r="H27" s="3">
        <f>IF(D27="","",VLOOKUP(D27,'Provider Comparison'!$A$4:$M$6,6,FALSE))</f>
        <v/>
      </c>
      <c r="I27" s="3">
        <f>SUM(E27:H27)</f>
        <v/>
      </c>
      <c r="J27" s="3" t="inlineStr">
        <is>
          <t>YMCA Cedar Glen</t>
        </is>
      </c>
      <c r="K27" s="3">
        <f>IF(J27="","",VLOOKUP(J27,'Provider Comparison'!$A$4:$M$6,4,FALSE))</f>
        <v/>
      </c>
      <c r="L27" s="3">
        <f>IF(J27="","",VLOOKUP(J27,'Provider Comparison'!$A$4:$M$6,3,FALSE))</f>
        <v/>
      </c>
      <c r="M27" s="3">
        <f>IF(J27="","",VLOOKUP(J27,'Provider Comparison'!$A$4:$M$6,5,FALSE))</f>
        <v/>
      </c>
      <c r="N27" s="3">
        <f>IF(J27="","",VLOOKUP(J27,'Provider Comparison'!$A$4:$M$6,6,FALSE))</f>
        <v/>
      </c>
      <c r="O27" s="3">
        <f>SUM(K27:N27)</f>
        <v/>
      </c>
      <c r="P27" s="3">
        <f>I27+O27</f>
        <v/>
      </c>
    </row>
    <row r="28">
      <c r="A28" s="6" t="n">
        <v>45870</v>
      </c>
      <c r="B28" s="3">
        <f>TEXT(A28,"ddd")</f>
        <v/>
      </c>
      <c r="C28" s="3" t="n">
        <v>5</v>
      </c>
      <c r="D28" s="3" t="inlineStr">
        <is>
          <t>YMCA Cedar Glen</t>
        </is>
      </c>
      <c r="E28" s="3">
        <f>IF(D28="","",VLOOKUP(D28,'Provider Comparison'!$A$4:$M$6,4,FALSE))</f>
        <v/>
      </c>
      <c r="F28" s="3">
        <f>IF(D28="","",VLOOKUP(D28,'Provider Comparison'!$A$4:$M$6,3,FALSE))</f>
        <v/>
      </c>
      <c r="G28" s="3">
        <f>IF(D28="","",VLOOKUP(D28,'Provider Comparison'!$A$4:$M$6,5,FALSE))</f>
        <v/>
      </c>
      <c r="H28" s="3">
        <f>IF(D28="","",VLOOKUP(D28,'Provider Comparison'!$A$4:$M$6,6,FALSE))</f>
        <v/>
      </c>
      <c r="I28" s="3">
        <f>SUM(E28:H28)</f>
        <v/>
      </c>
      <c r="J28" s="3" t="inlineStr">
        <is>
          <t>YMCA Cedar Glen</t>
        </is>
      </c>
      <c r="K28" s="3">
        <f>IF(J28="","",VLOOKUP(J28,'Provider Comparison'!$A$4:$M$6,4,FALSE))</f>
        <v/>
      </c>
      <c r="L28" s="3">
        <f>IF(J28="","",VLOOKUP(J28,'Provider Comparison'!$A$4:$M$6,3,FALSE))</f>
        <v/>
      </c>
      <c r="M28" s="3">
        <f>IF(J28="","",VLOOKUP(J28,'Provider Comparison'!$A$4:$M$6,5,FALSE))</f>
        <v/>
      </c>
      <c r="N28" s="3">
        <f>IF(J28="","",VLOOKUP(J28,'Provider Comparison'!$A$4:$M$6,6,FALSE))</f>
        <v/>
      </c>
      <c r="O28" s="3">
        <f>SUM(K28:N28)</f>
        <v/>
      </c>
      <c r="P28" s="3">
        <f>I28+O28</f>
        <v/>
      </c>
    </row>
    <row r="29">
      <c r="A29" s="6" t="n">
        <v>45873</v>
      </c>
      <c r="B29" s="3">
        <f>TEXT(A29,"ddd")</f>
        <v/>
      </c>
      <c r="C29" s="3" t="n">
        <v>6</v>
      </c>
      <c r="D29" s="3" t="inlineStr">
        <is>
          <t>YMCA Cedar Glen</t>
        </is>
      </c>
      <c r="E29" s="3">
        <f>IF(D29="","",VLOOKUP(D29,'Provider Comparison'!$A$4:$M$6,4,FALSE))</f>
        <v/>
      </c>
      <c r="F29" s="3">
        <f>IF(D29="","",VLOOKUP(D29,'Provider Comparison'!$A$4:$M$6,3,FALSE))</f>
        <v/>
      </c>
      <c r="G29" s="3">
        <f>IF(D29="","",VLOOKUP(D29,'Provider Comparison'!$A$4:$M$6,5,FALSE))</f>
        <v/>
      </c>
      <c r="H29" s="3">
        <f>IF(D29="","",VLOOKUP(D29,'Provider Comparison'!$A$4:$M$6,6,FALSE))</f>
        <v/>
      </c>
      <c r="I29" s="3">
        <f>SUM(E29:H29)</f>
        <v/>
      </c>
      <c r="J29" s="3" t="inlineStr">
        <is>
          <t>YMCA Cedar Glen</t>
        </is>
      </c>
      <c r="K29" s="3">
        <f>IF(J29="","",VLOOKUP(J29,'Provider Comparison'!$A$4:$M$6,4,FALSE))</f>
        <v/>
      </c>
      <c r="L29" s="3">
        <f>IF(J29="","",VLOOKUP(J29,'Provider Comparison'!$A$4:$M$6,3,FALSE))</f>
        <v/>
      </c>
      <c r="M29" s="3">
        <f>IF(J29="","",VLOOKUP(J29,'Provider Comparison'!$A$4:$M$6,5,FALSE))</f>
        <v/>
      </c>
      <c r="N29" s="3">
        <f>IF(J29="","",VLOOKUP(J29,'Provider Comparison'!$A$4:$M$6,6,FALSE))</f>
        <v/>
      </c>
      <c r="O29" s="3">
        <f>SUM(K29:N29)</f>
        <v/>
      </c>
      <c r="P29" s="3">
        <f>I29+O29</f>
        <v/>
      </c>
    </row>
    <row r="30">
      <c r="A30" s="6" t="n">
        <v>45874</v>
      </c>
      <c r="B30" s="3">
        <f>TEXT(A30,"ddd")</f>
        <v/>
      </c>
      <c r="C30" s="3" t="n">
        <v>6</v>
      </c>
      <c r="D30" s="3" t="inlineStr">
        <is>
          <t>YMCA Cedar Glen</t>
        </is>
      </c>
      <c r="E30" s="3">
        <f>IF(D30="","",VLOOKUP(D30,'Provider Comparison'!$A$4:$M$6,4,FALSE))</f>
        <v/>
      </c>
      <c r="F30" s="3">
        <f>IF(D30="","",VLOOKUP(D30,'Provider Comparison'!$A$4:$M$6,3,FALSE))</f>
        <v/>
      </c>
      <c r="G30" s="3">
        <f>IF(D30="","",VLOOKUP(D30,'Provider Comparison'!$A$4:$M$6,5,FALSE))</f>
        <v/>
      </c>
      <c r="H30" s="3">
        <f>IF(D30="","",VLOOKUP(D30,'Provider Comparison'!$A$4:$M$6,6,FALSE))</f>
        <v/>
      </c>
      <c r="I30" s="3">
        <f>SUM(E30:H30)</f>
        <v/>
      </c>
      <c r="J30" s="3" t="inlineStr">
        <is>
          <t>YMCA Cedar Glen</t>
        </is>
      </c>
      <c r="K30" s="3">
        <f>IF(J30="","",VLOOKUP(J30,'Provider Comparison'!$A$4:$M$6,4,FALSE))</f>
        <v/>
      </c>
      <c r="L30" s="3">
        <f>IF(J30="","",VLOOKUP(J30,'Provider Comparison'!$A$4:$M$6,3,FALSE))</f>
        <v/>
      </c>
      <c r="M30" s="3">
        <f>IF(J30="","",VLOOKUP(J30,'Provider Comparison'!$A$4:$M$6,5,FALSE))</f>
        <v/>
      </c>
      <c r="N30" s="3">
        <f>IF(J30="","",VLOOKUP(J30,'Provider Comparison'!$A$4:$M$6,6,FALSE))</f>
        <v/>
      </c>
      <c r="O30" s="3">
        <f>SUM(K30:N30)</f>
        <v/>
      </c>
      <c r="P30" s="3">
        <f>I30+O30</f>
        <v/>
      </c>
    </row>
    <row r="31">
      <c r="A31" s="6" t="n">
        <v>45875</v>
      </c>
      <c r="B31" s="3">
        <f>TEXT(A31,"ddd")</f>
        <v/>
      </c>
      <c r="C31" s="3" t="n">
        <v>6</v>
      </c>
      <c r="D31" s="3" t="inlineStr">
        <is>
          <t>YMCA Cedar Glen</t>
        </is>
      </c>
      <c r="E31" s="3">
        <f>IF(D31="","",VLOOKUP(D31,'Provider Comparison'!$A$4:$M$6,4,FALSE))</f>
        <v/>
      </c>
      <c r="F31" s="3">
        <f>IF(D31="","",VLOOKUP(D31,'Provider Comparison'!$A$4:$M$6,3,FALSE))</f>
        <v/>
      </c>
      <c r="G31" s="3">
        <f>IF(D31="","",VLOOKUP(D31,'Provider Comparison'!$A$4:$M$6,5,FALSE))</f>
        <v/>
      </c>
      <c r="H31" s="3">
        <f>IF(D31="","",VLOOKUP(D31,'Provider Comparison'!$A$4:$M$6,6,FALSE))</f>
        <v/>
      </c>
      <c r="I31" s="3">
        <f>SUM(E31:H31)</f>
        <v/>
      </c>
      <c r="J31" s="3" t="inlineStr">
        <is>
          <t>YMCA Cedar Glen</t>
        </is>
      </c>
      <c r="K31" s="3">
        <f>IF(J31="","",VLOOKUP(J31,'Provider Comparison'!$A$4:$M$6,4,FALSE))</f>
        <v/>
      </c>
      <c r="L31" s="3">
        <f>IF(J31="","",VLOOKUP(J31,'Provider Comparison'!$A$4:$M$6,3,FALSE))</f>
        <v/>
      </c>
      <c r="M31" s="3">
        <f>IF(J31="","",VLOOKUP(J31,'Provider Comparison'!$A$4:$M$6,5,FALSE))</f>
        <v/>
      </c>
      <c r="N31" s="3">
        <f>IF(J31="","",VLOOKUP(J31,'Provider Comparison'!$A$4:$M$6,6,FALSE))</f>
        <v/>
      </c>
      <c r="O31" s="3">
        <f>SUM(K31:N31)</f>
        <v/>
      </c>
      <c r="P31" s="3">
        <f>I31+O31</f>
        <v/>
      </c>
    </row>
    <row r="32">
      <c r="A32" s="6" t="n">
        <v>45876</v>
      </c>
      <c r="B32" s="3">
        <f>TEXT(A32,"ddd")</f>
        <v/>
      </c>
      <c r="C32" s="3" t="n">
        <v>6</v>
      </c>
      <c r="D32" s="3" t="inlineStr">
        <is>
          <t>YMCA Cedar Glen</t>
        </is>
      </c>
      <c r="E32" s="3">
        <f>IF(D32="","",VLOOKUP(D32,'Provider Comparison'!$A$4:$M$6,4,FALSE))</f>
        <v/>
      </c>
      <c r="F32" s="3">
        <f>IF(D32="","",VLOOKUP(D32,'Provider Comparison'!$A$4:$M$6,3,FALSE))</f>
        <v/>
      </c>
      <c r="G32" s="3">
        <f>IF(D32="","",VLOOKUP(D32,'Provider Comparison'!$A$4:$M$6,5,FALSE))</f>
        <v/>
      </c>
      <c r="H32" s="3">
        <f>IF(D32="","",VLOOKUP(D32,'Provider Comparison'!$A$4:$M$6,6,FALSE))</f>
        <v/>
      </c>
      <c r="I32" s="3">
        <f>SUM(E32:H32)</f>
        <v/>
      </c>
      <c r="J32" s="3" t="inlineStr">
        <is>
          <t>YMCA Cedar Glen</t>
        </is>
      </c>
      <c r="K32" s="3">
        <f>IF(J32="","",VLOOKUP(J32,'Provider Comparison'!$A$4:$M$6,4,FALSE))</f>
        <v/>
      </c>
      <c r="L32" s="3">
        <f>IF(J32="","",VLOOKUP(J32,'Provider Comparison'!$A$4:$M$6,3,FALSE))</f>
        <v/>
      </c>
      <c r="M32" s="3">
        <f>IF(J32="","",VLOOKUP(J32,'Provider Comparison'!$A$4:$M$6,5,FALSE))</f>
        <v/>
      </c>
      <c r="N32" s="3">
        <f>IF(J32="","",VLOOKUP(J32,'Provider Comparison'!$A$4:$M$6,6,FALSE))</f>
        <v/>
      </c>
      <c r="O32" s="3">
        <f>SUM(K32:N32)</f>
        <v/>
      </c>
      <c r="P32" s="3">
        <f>I32+O32</f>
        <v/>
      </c>
    </row>
    <row r="33">
      <c r="A33" s="6" t="n">
        <v>45877</v>
      </c>
      <c r="B33" s="3">
        <f>TEXT(A33,"ddd")</f>
        <v/>
      </c>
      <c r="C33" s="3" t="n">
        <v>6</v>
      </c>
      <c r="D33" s="3" t="inlineStr">
        <is>
          <t>YMCA Cedar Glen</t>
        </is>
      </c>
      <c r="E33" s="3">
        <f>IF(D33="","",VLOOKUP(D33,'Provider Comparison'!$A$4:$M$6,4,FALSE))</f>
        <v/>
      </c>
      <c r="F33" s="3">
        <f>IF(D33="","",VLOOKUP(D33,'Provider Comparison'!$A$4:$M$6,3,FALSE))</f>
        <v/>
      </c>
      <c r="G33" s="3">
        <f>IF(D33="","",VLOOKUP(D33,'Provider Comparison'!$A$4:$M$6,5,FALSE))</f>
        <v/>
      </c>
      <c r="H33" s="3">
        <f>IF(D33="","",VLOOKUP(D33,'Provider Comparison'!$A$4:$M$6,6,FALSE))</f>
        <v/>
      </c>
      <c r="I33" s="3">
        <f>SUM(E33:H33)</f>
        <v/>
      </c>
      <c r="J33" s="3" t="inlineStr">
        <is>
          <t>YMCA Cedar Glen</t>
        </is>
      </c>
      <c r="K33" s="3">
        <f>IF(J33="","",VLOOKUP(J33,'Provider Comparison'!$A$4:$M$6,4,FALSE))</f>
        <v/>
      </c>
      <c r="L33" s="3">
        <f>IF(J33="","",VLOOKUP(J33,'Provider Comparison'!$A$4:$M$6,3,FALSE))</f>
        <v/>
      </c>
      <c r="M33" s="3">
        <f>IF(J33="","",VLOOKUP(J33,'Provider Comparison'!$A$4:$M$6,5,FALSE))</f>
        <v/>
      </c>
      <c r="N33" s="3">
        <f>IF(J33="","",VLOOKUP(J33,'Provider Comparison'!$A$4:$M$6,6,FALSE))</f>
        <v/>
      </c>
      <c r="O33" s="3">
        <f>SUM(K33:N33)</f>
        <v/>
      </c>
      <c r="P33" s="3">
        <f>I33+O33</f>
        <v/>
      </c>
    </row>
    <row r="34">
      <c r="A34" s="6" t="n">
        <v>45880</v>
      </c>
      <c r="B34" s="3">
        <f>TEXT(A34,"ddd")</f>
        <v/>
      </c>
      <c r="C34" s="3" t="n">
        <v>7</v>
      </c>
      <c r="D34" s="3" t="inlineStr">
        <is>
          <t>Science Camp Toronto</t>
        </is>
      </c>
      <c r="E34" s="3">
        <f>IF(D34="","",VLOOKUP(D34,'Provider Comparison'!$A$4:$M$6,4,FALSE))</f>
        <v/>
      </c>
      <c r="F34" s="3">
        <f>IF(D34="","",VLOOKUP(D34,'Provider Comparison'!$A$4:$M$6,3,FALSE))</f>
        <v/>
      </c>
      <c r="G34" s="3">
        <f>IF(D34="","",VLOOKUP(D34,'Provider Comparison'!$A$4:$M$6,5,FALSE))</f>
        <v/>
      </c>
      <c r="H34" s="3">
        <f>IF(D34="","",VLOOKUP(D34,'Provider Comparison'!$A$4:$M$6,6,FALSE))</f>
        <v/>
      </c>
      <c r="I34" s="3">
        <f>SUM(E34:H34)</f>
        <v/>
      </c>
      <c r="J34" s="3" t="inlineStr">
        <is>
          <t>City of Toronto</t>
        </is>
      </c>
      <c r="K34" s="3">
        <f>IF(J34="","",VLOOKUP(J34,'Provider Comparison'!$A$4:$M$6,4,FALSE))</f>
        <v/>
      </c>
      <c r="L34" s="3">
        <f>IF(J34="","",VLOOKUP(J34,'Provider Comparison'!$A$4:$M$6,3,FALSE))</f>
        <v/>
      </c>
      <c r="M34" s="3">
        <f>IF(J34="","",VLOOKUP(J34,'Provider Comparison'!$A$4:$M$6,5,FALSE))</f>
        <v/>
      </c>
      <c r="N34" s="3">
        <f>IF(J34="","",VLOOKUP(J34,'Provider Comparison'!$A$4:$M$6,6,FALSE))</f>
        <v/>
      </c>
      <c r="O34" s="3">
        <f>SUM(K34:N34)</f>
        <v/>
      </c>
      <c r="P34" s="3">
        <f>I34+O34</f>
        <v/>
      </c>
    </row>
    <row r="35">
      <c r="A35" s="6" t="n">
        <v>45881</v>
      </c>
      <c r="B35" s="3">
        <f>TEXT(A35,"ddd")</f>
        <v/>
      </c>
      <c r="C35" s="3" t="n">
        <v>7</v>
      </c>
      <c r="D35" s="3" t="inlineStr">
        <is>
          <t>Science Camp Toronto</t>
        </is>
      </c>
      <c r="E35" s="3">
        <f>IF(D35="","",VLOOKUP(D35,'Provider Comparison'!$A$4:$M$6,4,FALSE))</f>
        <v/>
      </c>
      <c r="F35" s="3">
        <f>IF(D35="","",VLOOKUP(D35,'Provider Comparison'!$A$4:$M$6,3,FALSE))</f>
        <v/>
      </c>
      <c r="G35" s="3">
        <f>IF(D35="","",VLOOKUP(D35,'Provider Comparison'!$A$4:$M$6,5,FALSE))</f>
        <v/>
      </c>
      <c r="H35" s="3">
        <f>IF(D35="","",VLOOKUP(D35,'Provider Comparison'!$A$4:$M$6,6,FALSE))</f>
        <v/>
      </c>
      <c r="I35" s="3">
        <f>SUM(E35:H35)</f>
        <v/>
      </c>
      <c r="J35" s="3" t="inlineStr">
        <is>
          <t>City of Toronto</t>
        </is>
      </c>
      <c r="K35" s="3">
        <f>IF(J35="","",VLOOKUP(J35,'Provider Comparison'!$A$4:$M$6,4,FALSE))</f>
        <v/>
      </c>
      <c r="L35" s="3">
        <f>IF(J35="","",VLOOKUP(J35,'Provider Comparison'!$A$4:$M$6,3,FALSE))</f>
        <v/>
      </c>
      <c r="M35" s="3">
        <f>IF(J35="","",VLOOKUP(J35,'Provider Comparison'!$A$4:$M$6,5,FALSE))</f>
        <v/>
      </c>
      <c r="N35" s="3">
        <f>IF(J35="","",VLOOKUP(J35,'Provider Comparison'!$A$4:$M$6,6,FALSE))</f>
        <v/>
      </c>
      <c r="O35" s="3">
        <f>SUM(K35:N35)</f>
        <v/>
      </c>
      <c r="P35" s="3">
        <f>I35+O35</f>
        <v/>
      </c>
    </row>
    <row r="36">
      <c r="A36" s="6" t="n">
        <v>45882</v>
      </c>
      <c r="B36" s="3">
        <f>TEXT(A36,"ddd")</f>
        <v/>
      </c>
      <c r="C36" s="3" t="n">
        <v>7</v>
      </c>
      <c r="D36" s="3" t="inlineStr">
        <is>
          <t>Science Camp Toronto</t>
        </is>
      </c>
      <c r="E36" s="3">
        <f>IF(D36="","",VLOOKUP(D36,'Provider Comparison'!$A$4:$M$6,4,FALSE))</f>
        <v/>
      </c>
      <c r="F36" s="3">
        <f>IF(D36="","",VLOOKUP(D36,'Provider Comparison'!$A$4:$M$6,3,FALSE))</f>
        <v/>
      </c>
      <c r="G36" s="3">
        <f>IF(D36="","",VLOOKUP(D36,'Provider Comparison'!$A$4:$M$6,5,FALSE))</f>
        <v/>
      </c>
      <c r="H36" s="3">
        <f>IF(D36="","",VLOOKUP(D36,'Provider Comparison'!$A$4:$M$6,6,FALSE))</f>
        <v/>
      </c>
      <c r="I36" s="3">
        <f>SUM(E36:H36)</f>
        <v/>
      </c>
      <c r="J36" s="3" t="inlineStr">
        <is>
          <t>City of Toronto</t>
        </is>
      </c>
      <c r="K36" s="3">
        <f>IF(J36="","",VLOOKUP(J36,'Provider Comparison'!$A$4:$M$6,4,FALSE))</f>
        <v/>
      </c>
      <c r="L36" s="3">
        <f>IF(J36="","",VLOOKUP(J36,'Provider Comparison'!$A$4:$M$6,3,FALSE))</f>
        <v/>
      </c>
      <c r="M36" s="3">
        <f>IF(J36="","",VLOOKUP(J36,'Provider Comparison'!$A$4:$M$6,5,FALSE))</f>
        <v/>
      </c>
      <c r="N36" s="3">
        <f>IF(J36="","",VLOOKUP(J36,'Provider Comparison'!$A$4:$M$6,6,FALSE))</f>
        <v/>
      </c>
      <c r="O36" s="3">
        <f>SUM(K36:N36)</f>
        <v/>
      </c>
      <c r="P36" s="3">
        <f>I36+O36</f>
        <v/>
      </c>
    </row>
    <row r="37">
      <c r="A37" s="6" t="n">
        <v>45883</v>
      </c>
      <c r="B37" s="3">
        <f>TEXT(A37,"ddd")</f>
        <v/>
      </c>
      <c r="C37" s="3" t="n">
        <v>7</v>
      </c>
      <c r="D37" s="3" t="inlineStr">
        <is>
          <t>Science Camp Toronto</t>
        </is>
      </c>
      <c r="E37" s="3">
        <f>IF(D37="","",VLOOKUP(D37,'Provider Comparison'!$A$4:$M$6,4,FALSE))</f>
        <v/>
      </c>
      <c r="F37" s="3">
        <f>IF(D37="","",VLOOKUP(D37,'Provider Comparison'!$A$4:$M$6,3,FALSE))</f>
        <v/>
      </c>
      <c r="G37" s="3">
        <f>IF(D37="","",VLOOKUP(D37,'Provider Comparison'!$A$4:$M$6,5,FALSE))</f>
        <v/>
      </c>
      <c r="H37" s="3">
        <f>IF(D37="","",VLOOKUP(D37,'Provider Comparison'!$A$4:$M$6,6,FALSE))</f>
        <v/>
      </c>
      <c r="I37" s="3">
        <f>SUM(E37:H37)</f>
        <v/>
      </c>
      <c r="J37" s="3" t="inlineStr">
        <is>
          <t>City of Toronto</t>
        </is>
      </c>
      <c r="K37" s="3">
        <f>IF(J37="","",VLOOKUP(J37,'Provider Comparison'!$A$4:$M$6,4,FALSE))</f>
        <v/>
      </c>
      <c r="L37" s="3">
        <f>IF(J37="","",VLOOKUP(J37,'Provider Comparison'!$A$4:$M$6,3,FALSE))</f>
        <v/>
      </c>
      <c r="M37" s="3">
        <f>IF(J37="","",VLOOKUP(J37,'Provider Comparison'!$A$4:$M$6,5,FALSE))</f>
        <v/>
      </c>
      <c r="N37" s="3">
        <f>IF(J37="","",VLOOKUP(J37,'Provider Comparison'!$A$4:$M$6,6,FALSE))</f>
        <v/>
      </c>
      <c r="O37" s="3">
        <f>SUM(K37:N37)</f>
        <v/>
      </c>
      <c r="P37" s="3">
        <f>I37+O37</f>
        <v/>
      </c>
    </row>
    <row r="38">
      <c r="A38" s="6" t="n">
        <v>45884</v>
      </c>
      <c r="B38" s="3">
        <f>TEXT(A38,"ddd")</f>
        <v/>
      </c>
      <c r="C38" s="3" t="n">
        <v>7</v>
      </c>
      <c r="D38" s="3" t="inlineStr">
        <is>
          <t>Science Camp Toronto</t>
        </is>
      </c>
      <c r="E38" s="3">
        <f>IF(D38="","",VLOOKUP(D38,'Provider Comparison'!$A$4:$M$6,4,FALSE))</f>
        <v/>
      </c>
      <c r="F38" s="3">
        <f>IF(D38="","",VLOOKUP(D38,'Provider Comparison'!$A$4:$M$6,3,FALSE))</f>
        <v/>
      </c>
      <c r="G38" s="3">
        <f>IF(D38="","",VLOOKUP(D38,'Provider Comparison'!$A$4:$M$6,5,FALSE))</f>
        <v/>
      </c>
      <c r="H38" s="3">
        <f>IF(D38="","",VLOOKUP(D38,'Provider Comparison'!$A$4:$M$6,6,FALSE))</f>
        <v/>
      </c>
      <c r="I38" s="3">
        <f>SUM(E38:H38)</f>
        <v/>
      </c>
      <c r="J38" s="3" t="inlineStr">
        <is>
          <t>City of Toronto</t>
        </is>
      </c>
      <c r="K38" s="3">
        <f>IF(J38="","",VLOOKUP(J38,'Provider Comparison'!$A$4:$M$6,4,FALSE))</f>
        <v/>
      </c>
      <c r="L38" s="3">
        <f>IF(J38="","",VLOOKUP(J38,'Provider Comparison'!$A$4:$M$6,3,FALSE))</f>
        <v/>
      </c>
      <c r="M38" s="3">
        <f>IF(J38="","",VLOOKUP(J38,'Provider Comparison'!$A$4:$M$6,5,FALSE))</f>
        <v/>
      </c>
      <c r="N38" s="3">
        <f>IF(J38="","",VLOOKUP(J38,'Provider Comparison'!$A$4:$M$6,6,FALSE))</f>
        <v/>
      </c>
      <c r="O38" s="3">
        <f>SUM(K38:N38)</f>
        <v/>
      </c>
      <c r="P38" s="3">
        <f>I38+O38</f>
        <v/>
      </c>
    </row>
    <row r="39">
      <c r="A39" s="6" t="n">
        <v>45887</v>
      </c>
      <c r="B39" s="3">
        <f>TEXT(A39,"ddd")</f>
        <v/>
      </c>
      <c r="C39" s="3" t="n">
        <v>8</v>
      </c>
      <c r="D39" s="3" t="inlineStr">
        <is>
          <t>YMCA Cedar Glen</t>
        </is>
      </c>
      <c r="E39" s="3">
        <f>IF(D39="","",VLOOKUP(D39,'Provider Comparison'!$A$4:$M$6,4,FALSE))</f>
        <v/>
      </c>
      <c r="F39" s="3">
        <f>IF(D39="","",VLOOKUP(D39,'Provider Comparison'!$A$4:$M$6,3,FALSE))</f>
        <v/>
      </c>
      <c r="G39" s="3">
        <f>IF(D39="","",VLOOKUP(D39,'Provider Comparison'!$A$4:$M$6,5,FALSE))</f>
        <v/>
      </c>
      <c r="H39" s="3">
        <f>IF(D39="","",VLOOKUP(D39,'Provider Comparison'!$A$4:$M$6,6,FALSE))</f>
        <v/>
      </c>
      <c r="I39" s="3">
        <f>SUM(E39:H39)</f>
        <v/>
      </c>
      <c r="J39" s="3" t="inlineStr">
        <is>
          <t>YMCA Cedar Glen</t>
        </is>
      </c>
      <c r="K39" s="3">
        <f>IF(J39="","",VLOOKUP(J39,'Provider Comparison'!$A$4:$M$6,4,FALSE))</f>
        <v/>
      </c>
      <c r="L39" s="3">
        <f>IF(J39="","",VLOOKUP(J39,'Provider Comparison'!$A$4:$M$6,3,FALSE))</f>
        <v/>
      </c>
      <c r="M39" s="3">
        <f>IF(J39="","",VLOOKUP(J39,'Provider Comparison'!$A$4:$M$6,5,FALSE))</f>
        <v/>
      </c>
      <c r="N39" s="3">
        <f>IF(J39="","",VLOOKUP(J39,'Provider Comparison'!$A$4:$M$6,6,FALSE))</f>
        <v/>
      </c>
      <c r="O39" s="3">
        <f>SUM(K39:N39)</f>
        <v/>
      </c>
      <c r="P39" s="3">
        <f>I39+O39</f>
        <v/>
      </c>
    </row>
    <row r="40">
      <c r="A40" s="6" t="n">
        <v>45888</v>
      </c>
      <c r="B40" s="3">
        <f>TEXT(A40,"ddd")</f>
        <v/>
      </c>
      <c r="C40" s="3" t="n">
        <v>8</v>
      </c>
      <c r="D40" s="3" t="inlineStr">
        <is>
          <t>YMCA Cedar Glen</t>
        </is>
      </c>
      <c r="E40" s="3">
        <f>IF(D40="","",VLOOKUP(D40,'Provider Comparison'!$A$4:$M$6,4,FALSE))</f>
        <v/>
      </c>
      <c r="F40" s="3">
        <f>IF(D40="","",VLOOKUP(D40,'Provider Comparison'!$A$4:$M$6,3,FALSE))</f>
        <v/>
      </c>
      <c r="G40" s="3">
        <f>IF(D40="","",VLOOKUP(D40,'Provider Comparison'!$A$4:$M$6,5,FALSE))</f>
        <v/>
      </c>
      <c r="H40" s="3">
        <f>IF(D40="","",VLOOKUP(D40,'Provider Comparison'!$A$4:$M$6,6,FALSE))</f>
        <v/>
      </c>
      <c r="I40" s="3">
        <f>SUM(E40:H40)</f>
        <v/>
      </c>
      <c r="J40" s="3" t="inlineStr">
        <is>
          <t>YMCA Cedar Glen</t>
        </is>
      </c>
      <c r="K40" s="3">
        <f>IF(J40="","",VLOOKUP(J40,'Provider Comparison'!$A$4:$M$6,4,FALSE))</f>
        <v/>
      </c>
      <c r="L40" s="3">
        <f>IF(J40="","",VLOOKUP(J40,'Provider Comparison'!$A$4:$M$6,3,FALSE))</f>
        <v/>
      </c>
      <c r="M40" s="3">
        <f>IF(J40="","",VLOOKUP(J40,'Provider Comparison'!$A$4:$M$6,5,FALSE))</f>
        <v/>
      </c>
      <c r="N40" s="3">
        <f>IF(J40="","",VLOOKUP(J40,'Provider Comparison'!$A$4:$M$6,6,FALSE))</f>
        <v/>
      </c>
      <c r="O40" s="3">
        <f>SUM(K40:N40)</f>
        <v/>
      </c>
      <c r="P40" s="3">
        <f>I40+O40</f>
        <v/>
      </c>
    </row>
    <row r="41">
      <c r="A41" s="6" t="n">
        <v>45889</v>
      </c>
      <c r="B41" s="3">
        <f>TEXT(A41,"ddd")</f>
        <v/>
      </c>
      <c r="C41" s="3" t="n">
        <v>8</v>
      </c>
      <c r="D41" s="3" t="inlineStr">
        <is>
          <t>YMCA Cedar Glen</t>
        </is>
      </c>
      <c r="E41" s="3">
        <f>IF(D41="","",VLOOKUP(D41,'Provider Comparison'!$A$4:$M$6,4,FALSE))</f>
        <v/>
      </c>
      <c r="F41" s="3">
        <f>IF(D41="","",VLOOKUP(D41,'Provider Comparison'!$A$4:$M$6,3,FALSE))</f>
        <v/>
      </c>
      <c r="G41" s="3">
        <f>IF(D41="","",VLOOKUP(D41,'Provider Comparison'!$A$4:$M$6,5,FALSE))</f>
        <v/>
      </c>
      <c r="H41" s="3">
        <f>IF(D41="","",VLOOKUP(D41,'Provider Comparison'!$A$4:$M$6,6,FALSE))</f>
        <v/>
      </c>
      <c r="I41" s="3">
        <f>SUM(E41:H41)</f>
        <v/>
      </c>
      <c r="J41" s="3" t="inlineStr">
        <is>
          <t>YMCA Cedar Glen</t>
        </is>
      </c>
      <c r="K41" s="3">
        <f>IF(J41="","",VLOOKUP(J41,'Provider Comparison'!$A$4:$M$6,4,FALSE))</f>
        <v/>
      </c>
      <c r="L41" s="3">
        <f>IF(J41="","",VLOOKUP(J41,'Provider Comparison'!$A$4:$M$6,3,FALSE))</f>
        <v/>
      </c>
      <c r="M41" s="3">
        <f>IF(J41="","",VLOOKUP(J41,'Provider Comparison'!$A$4:$M$6,5,FALSE))</f>
        <v/>
      </c>
      <c r="N41" s="3">
        <f>IF(J41="","",VLOOKUP(J41,'Provider Comparison'!$A$4:$M$6,6,FALSE))</f>
        <v/>
      </c>
      <c r="O41" s="3">
        <f>SUM(K41:N41)</f>
        <v/>
      </c>
      <c r="P41" s="3">
        <f>I41+O41</f>
        <v/>
      </c>
    </row>
    <row r="42">
      <c r="A42" s="6" t="n">
        <v>45890</v>
      </c>
      <c r="B42" s="3">
        <f>TEXT(A42,"ddd")</f>
        <v/>
      </c>
      <c r="C42" s="3" t="n">
        <v>8</v>
      </c>
      <c r="D42" s="3" t="inlineStr">
        <is>
          <t>YMCA Cedar Glen</t>
        </is>
      </c>
      <c r="E42" s="3">
        <f>IF(D42="","",VLOOKUP(D42,'Provider Comparison'!$A$4:$M$6,4,FALSE))</f>
        <v/>
      </c>
      <c r="F42" s="3">
        <f>IF(D42="","",VLOOKUP(D42,'Provider Comparison'!$A$4:$M$6,3,FALSE))</f>
        <v/>
      </c>
      <c r="G42" s="3">
        <f>IF(D42="","",VLOOKUP(D42,'Provider Comparison'!$A$4:$M$6,5,FALSE))</f>
        <v/>
      </c>
      <c r="H42" s="3">
        <f>IF(D42="","",VLOOKUP(D42,'Provider Comparison'!$A$4:$M$6,6,FALSE))</f>
        <v/>
      </c>
      <c r="I42" s="3">
        <f>SUM(E42:H42)</f>
        <v/>
      </c>
      <c r="J42" s="3" t="inlineStr">
        <is>
          <t>YMCA Cedar Glen</t>
        </is>
      </c>
      <c r="K42" s="3">
        <f>IF(J42="","",VLOOKUP(J42,'Provider Comparison'!$A$4:$M$6,4,FALSE))</f>
        <v/>
      </c>
      <c r="L42" s="3">
        <f>IF(J42="","",VLOOKUP(J42,'Provider Comparison'!$A$4:$M$6,3,FALSE))</f>
        <v/>
      </c>
      <c r="M42" s="3">
        <f>IF(J42="","",VLOOKUP(J42,'Provider Comparison'!$A$4:$M$6,5,FALSE))</f>
        <v/>
      </c>
      <c r="N42" s="3">
        <f>IF(J42="","",VLOOKUP(J42,'Provider Comparison'!$A$4:$M$6,6,FALSE))</f>
        <v/>
      </c>
      <c r="O42" s="3">
        <f>SUM(K42:N42)</f>
        <v/>
      </c>
      <c r="P42" s="3">
        <f>I42+O42</f>
        <v/>
      </c>
    </row>
    <row r="43">
      <c r="A43" s="6" t="n">
        <v>45891</v>
      </c>
      <c r="B43" s="3">
        <f>TEXT(A43,"ddd")</f>
        <v/>
      </c>
      <c r="C43" s="3" t="n">
        <v>8</v>
      </c>
      <c r="D43" s="3" t="inlineStr">
        <is>
          <t>YMCA Cedar Glen</t>
        </is>
      </c>
      <c r="E43" s="3">
        <f>IF(D43="","",VLOOKUP(D43,'Provider Comparison'!$A$4:$M$6,4,FALSE))</f>
        <v/>
      </c>
      <c r="F43" s="3">
        <f>IF(D43="","",VLOOKUP(D43,'Provider Comparison'!$A$4:$M$6,3,FALSE))</f>
        <v/>
      </c>
      <c r="G43" s="3">
        <f>IF(D43="","",VLOOKUP(D43,'Provider Comparison'!$A$4:$M$6,5,FALSE))</f>
        <v/>
      </c>
      <c r="H43" s="3">
        <f>IF(D43="","",VLOOKUP(D43,'Provider Comparison'!$A$4:$M$6,6,FALSE))</f>
        <v/>
      </c>
      <c r="I43" s="3">
        <f>SUM(E43:H43)</f>
        <v/>
      </c>
      <c r="J43" s="3" t="inlineStr">
        <is>
          <t>YMCA Cedar Glen</t>
        </is>
      </c>
      <c r="K43" s="3">
        <f>IF(J43="","",VLOOKUP(J43,'Provider Comparison'!$A$4:$M$6,4,FALSE))</f>
        <v/>
      </c>
      <c r="L43" s="3">
        <f>IF(J43="","",VLOOKUP(J43,'Provider Comparison'!$A$4:$M$6,3,FALSE))</f>
        <v/>
      </c>
      <c r="M43" s="3">
        <f>IF(J43="","",VLOOKUP(J43,'Provider Comparison'!$A$4:$M$6,5,FALSE))</f>
        <v/>
      </c>
      <c r="N43" s="3">
        <f>IF(J43="","",VLOOKUP(J43,'Provider Comparison'!$A$4:$M$6,6,FALSE))</f>
        <v/>
      </c>
      <c r="O43" s="3">
        <f>SUM(K43:N43)</f>
        <v/>
      </c>
      <c r="P43" s="3">
        <f>I43+O43</f>
        <v/>
      </c>
    </row>
    <row r="44">
      <c r="A44" s="7" t="inlineStr">
        <is>
          <t>TOTAL</t>
        </is>
      </c>
      <c r="B44" s="7" t="n"/>
      <c r="C44" s="7" t="n"/>
      <c r="D44" s="7" t="n"/>
      <c r="E44" s="7">
        <f>SUM(E4:E43)</f>
        <v/>
      </c>
      <c r="F44" s="7">
        <f>SUM(F4:F43)</f>
        <v/>
      </c>
      <c r="G44" s="7">
        <f>SUM(G4:G43)</f>
        <v/>
      </c>
      <c r="H44" s="7">
        <f>SUM(H4:H43)</f>
        <v/>
      </c>
      <c r="I44" s="7">
        <f>SUM(I4:I43)</f>
        <v/>
      </c>
      <c r="J44" s="7" t="n"/>
      <c r="K44" s="7">
        <f>SUM(K4:K43)</f>
        <v/>
      </c>
      <c r="L44" s="7">
        <f>SUM(L4:L43)</f>
        <v/>
      </c>
      <c r="M44" s="7">
        <f>SUM(M4:M43)</f>
        <v/>
      </c>
      <c r="N44" s="7">
        <f>SUM(N4:N43)</f>
        <v/>
      </c>
      <c r="O44" s="7">
        <f>SUM(O4:O43)</f>
        <v/>
      </c>
      <c r="P44" s="7">
        <f>SUM(P4:P43)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12" customWidth="1" min="4" max="4"/>
    <col width="22" customWidth="1" min="5" max="5"/>
    <col width="12" customWidth="1" min="6" max="6"/>
    <col width="14" customWidth="1" min="7" max="7"/>
  </cols>
  <sheetData>
    <row r="1">
      <c r="A1" s="1" t="inlineStr">
        <is>
          <t>Summer 2025 Weekly Schedule</t>
        </is>
      </c>
    </row>
    <row r="3">
      <c r="A3" s="2" t="inlineStr">
        <is>
          <t>Week</t>
        </is>
      </c>
      <c r="B3" s="2" t="inlineStr">
        <is>
          <t>Dates</t>
        </is>
      </c>
      <c r="C3" s="2" t="inlineStr">
        <is>
          <t>Emma's Camp</t>
        </is>
      </c>
      <c r="D3" s="2" t="inlineStr">
        <is>
          <t>Emma Cost</t>
        </is>
      </c>
      <c r="E3" s="2" t="inlineStr">
        <is>
          <t>Liam's Camp</t>
        </is>
      </c>
      <c r="F3" s="2" t="inlineStr">
        <is>
          <t>Liam Cost</t>
        </is>
      </c>
      <c r="G3" s="2" t="inlineStr">
        <is>
          <t>Weekly Total</t>
        </is>
      </c>
    </row>
    <row r="4">
      <c r="A4" s="3" t="n">
        <v>1</v>
      </c>
      <c r="B4" s="3" t="inlineStr">
        <is>
          <t>Jun 30 - Jul 4</t>
        </is>
      </c>
      <c r="C4" s="3" t="inlineStr">
        <is>
          <t>YMCA Cedar Glen</t>
        </is>
      </c>
      <c r="D4" s="3">
        <f>SUMIF('Daily Schedule'!C$4:C$43,A4,'Daily Schedule'!I$4:I$43)</f>
        <v/>
      </c>
      <c r="E4" s="3" t="inlineStr">
        <is>
          <t>YMCA Cedar Glen</t>
        </is>
      </c>
      <c r="F4" s="3">
        <f>SUMIF('Daily Schedule'!C$4:C$43,A4,'Daily Schedule'!O$4:O$43)</f>
        <v/>
      </c>
      <c r="G4" s="3">
        <f>D4+F4</f>
        <v/>
      </c>
    </row>
    <row r="5">
      <c r="A5" s="3" t="n">
        <v>2</v>
      </c>
      <c r="B5" s="3" t="inlineStr">
        <is>
          <t>Jul 7 - Jul 11</t>
        </is>
      </c>
      <c r="C5" s="3" t="inlineStr">
        <is>
          <t>YMCA Cedar Glen</t>
        </is>
      </c>
      <c r="D5" s="3">
        <f>SUMIF('Daily Schedule'!C$4:C$43,A5,'Daily Schedule'!I$4:I$43)</f>
        <v/>
      </c>
      <c r="E5" s="3" t="inlineStr">
        <is>
          <t>YMCA Cedar Glen</t>
        </is>
      </c>
      <c r="F5" s="3">
        <f>SUMIF('Daily Schedule'!C$4:C$43,A5,'Daily Schedule'!O$4:O$43)</f>
        <v/>
      </c>
      <c r="G5" s="3">
        <f>D5+F5</f>
        <v/>
      </c>
    </row>
    <row r="6">
      <c r="A6" s="3" t="n">
        <v>3</v>
      </c>
      <c r="B6" s="3" t="inlineStr">
        <is>
          <t>Jul 14 - Jul 18</t>
        </is>
      </c>
      <c r="C6" s="3" t="inlineStr">
        <is>
          <t>YMCA Cedar Glen</t>
        </is>
      </c>
      <c r="D6" s="3">
        <f>SUMIF('Daily Schedule'!C$4:C$43,A6,'Daily Schedule'!I$4:I$43)</f>
        <v/>
      </c>
      <c r="E6" s="3" t="inlineStr">
        <is>
          <t>YMCA Cedar Glen</t>
        </is>
      </c>
      <c r="F6" s="3">
        <f>SUMIF('Daily Schedule'!C$4:C$43,A6,'Daily Schedule'!O$4:O$43)</f>
        <v/>
      </c>
      <c r="G6" s="3">
        <f>D6+F6</f>
        <v/>
      </c>
    </row>
    <row r="7">
      <c r="A7" s="3" t="n">
        <v>4</v>
      </c>
      <c r="B7" s="3" t="inlineStr">
        <is>
          <t>Jul 21 - Jul 25</t>
        </is>
      </c>
      <c r="C7" s="3" t="inlineStr">
        <is>
          <t>City of Toronto</t>
        </is>
      </c>
      <c r="D7" s="3">
        <f>SUMIF('Daily Schedule'!C$4:C$43,A7,'Daily Schedule'!I$4:I$43)</f>
        <v/>
      </c>
      <c r="E7" s="3" t="inlineStr">
        <is>
          <t>City of Toronto</t>
        </is>
      </c>
      <c r="F7" s="3">
        <f>SUMIF('Daily Schedule'!C$4:C$43,A7,'Daily Schedule'!O$4:O$43)</f>
        <v/>
      </c>
      <c r="G7" s="3">
        <f>D7+F7</f>
        <v/>
      </c>
    </row>
    <row r="8">
      <c r="A8" s="3" t="n">
        <v>5</v>
      </c>
      <c r="B8" s="3" t="inlineStr">
        <is>
          <t>Jul 28 - Aug 1</t>
        </is>
      </c>
      <c r="C8" s="3" t="inlineStr">
        <is>
          <t>YMCA Cedar Glen</t>
        </is>
      </c>
      <c r="D8" s="3">
        <f>SUMIF('Daily Schedule'!C$4:C$43,A8,'Daily Schedule'!I$4:I$43)</f>
        <v/>
      </c>
      <c r="E8" s="3" t="inlineStr">
        <is>
          <t>YMCA Cedar Glen</t>
        </is>
      </c>
      <c r="F8" s="3">
        <f>SUMIF('Daily Schedule'!C$4:C$43,A8,'Daily Schedule'!O$4:O$43)</f>
        <v/>
      </c>
      <c r="G8" s="3">
        <f>D8+F8</f>
        <v/>
      </c>
    </row>
    <row r="9">
      <c r="A9" s="3" t="n">
        <v>6</v>
      </c>
      <c r="B9" s="3" t="inlineStr">
        <is>
          <t>Aug 4 - Aug 8</t>
        </is>
      </c>
      <c r="C9" s="3" t="inlineStr">
        <is>
          <t>YMCA Cedar Glen</t>
        </is>
      </c>
      <c r="D9" s="3">
        <f>SUMIF('Daily Schedule'!C$4:C$43,A9,'Daily Schedule'!I$4:I$43)</f>
        <v/>
      </c>
      <c r="E9" s="3" t="inlineStr">
        <is>
          <t>YMCA Cedar Glen</t>
        </is>
      </c>
      <c r="F9" s="3">
        <f>SUMIF('Daily Schedule'!C$4:C$43,A9,'Daily Schedule'!O$4:O$43)</f>
        <v/>
      </c>
      <c r="G9" s="3">
        <f>D9+F9</f>
        <v/>
      </c>
    </row>
    <row r="10">
      <c r="A10" s="3" t="n">
        <v>7</v>
      </c>
      <c r="B10" s="3" t="inlineStr">
        <is>
          <t>Aug 11 - Aug 15</t>
        </is>
      </c>
      <c r="C10" s="3" t="inlineStr">
        <is>
          <t>Science Camp Toronto</t>
        </is>
      </c>
      <c r="D10" s="3">
        <f>SUMIF('Daily Schedule'!C$4:C$43,A10,'Daily Schedule'!I$4:I$43)</f>
        <v/>
      </c>
      <c r="E10" s="3" t="inlineStr">
        <is>
          <t>City of Toronto</t>
        </is>
      </c>
      <c r="F10" s="3">
        <f>SUMIF('Daily Schedule'!C$4:C$43,A10,'Daily Schedule'!O$4:O$43)</f>
        <v/>
      </c>
      <c r="G10" s="3">
        <f>D10+F10</f>
        <v/>
      </c>
    </row>
    <row r="11">
      <c r="A11" s="3" t="n">
        <v>8</v>
      </c>
      <c r="B11" s="3" t="inlineStr">
        <is>
          <t>Aug 18 - Aug 22</t>
        </is>
      </c>
      <c r="C11" s="3" t="inlineStr">
        <is>
          <t>YMCA Cedar Glen</t>
        </is>
      </c>
      <c r="D11" s="3">
        <f>SUMIF('Daily Schedule'!C$4:C$43,A11,'Daily Schedule'!I$4:I$43)</f>
        <v/>
      </c>
      <c r="E11" s="3" t="inlineStr">
        <is>
          <t>YMCA Cedar Glen</t>
        </is>
      </c>
      <c r="F11" s="3">
        <f>SUMIF('Daily Schedule'!C$4:C$43,A11,'Daily Schedule'!O$4:O$43)</f>
        <v/>
      </c>
      <c r="G11" s="3">
        <f>D11+F11</f>
        <v/>
      </c>
    </row>
    <row r="12">
      <c r="A12" s="7" t="inlineStr">
        <is>
          <t>TOTAL</t>
        </is>
      </c>
      <c r="B12" s="7" t="n"/>
      <c r="C12" s="7" t="n"/>
      <c r="D12" s="7">
        <f>SUM(D4:D11)</f>
        <v/>
      </c>
      <c r="E12" s="7" t="n"/>
      <c r="F12" s="7">
        <f>SUM(F4:F11)</f>
        <v/>
      </c>
      <c r="G12" s="7">
        <f>SUM(G4:G11)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4" customWidth="1" min="4" max="4"/>
  </cols>
  <sheetData>
    <row r="1">
      <c r="A1" s="1" t="inlineStr">
        <is>
          <t>Summer 2025 Camp Budget</t>
        </is>
      </c>
    </row>
    <row r="3">
      <c r="A3" s="4" t="inlineStr">
        <is>
          <t>Cost Breakdown</t>
        </is>
      </c>
    </row>
    <row r="4">
      <c r="A4" s="2" t="inlineStr">
        <is>
          <t>Category</t>
        </is>
      </c>
      <c r="B4" s="2" t="inlineStr">
        <is>
          <t>Emma (age 8)</t>
        </is>
      </c>
      <c r="C4" s="2" t="inlineStr">
        <is>
          <t>Liam (age 5)</t>
        </is>
      </c>
      <c r="D4" s="2" t="inlineStr">
        <is>
          <t>Total</t>
        </is>
      </c>
    </row>
    <row r="5">
      <c r="A5" s="3" t="inlineStr">
        <is>
          <t>Camp Fees</t>
        </is>
      </c>
      <c r="B5" s="3">
        <f>SUM('Daily Schedule'!F$4:F$43)</f>
        <v/>
      </c>
      <c r="C5" s="3">
        <f>SUM('Daily Schedule'!L$4:L$43)</f>
        <v/>
      </c>
      <c r="D5" s="3">
        <f>B5+C5</f>
        <v/>
      </c>
    </row>
    <row r="6">
      <c r="A6" s="3" t="inlineStr">
        <is>
          <t>Before/After Care</t>
        </is>
      </c>
      <c r="B6" s="3">
        <f>SUM('Daily Schedule'!E$4:E$43)+SUM('Daily Schedule'!G$4:G$43)</f>
        <v/>
      </c>
      <c r="C6" s="3">
        <f>SUM('Daily Schedule'!K$4:K$43)+SUM('Daily Schedule'!M$4:M$43)</f>
        <v/>
      </c>
      <c r="D6" s="3">
        <f>B6+C6</f>
        <v/>
      </c>
    </row>
    <row r="7">
      <c r="A7" s="3" t="inlineStr">
        <is>
          <t>Lunch</t>
        </is>
      </c>
      <c r="B7" s="3">
        <f>SUM('Daily Schedule'!H$4:H$43)</f>
        <v/>
      </c>
      <c r="C7" s="3">
        <f>SUM('Daily Schedule'!N$4:N$43)</f>
        <v/>
      </c>
      <c r="D7" s="3">
        <f>B7+C7</f>
        <v/>
      </c>
    </row>
    <row r="8">
      <c r="A8" s="3" t="inlineStr">
        <is>
          <t>Registration</t>
        </is>
      </c>
      <c r="B8" s="3" t="n">
        <v>50</v>
      </c>
      <c r="C8" s="3" t="n">
        <v>50</v>
      </c>
      <c r="D8" s="3">
        <f>B8+C8</f>
        <v/>
      </c>
    </row>
    <row r="9">
      <c r="A9" s="8" t="inlineStr">
        <is>
          <t>Subtotal</t>
        </is>
      </c>
      <c r="B9" s="3">
        <f>SUM(B5:B8)</f>
        <v/>
      </c>
      <c r="C9" s="3">
        <f>SUM(C5:C8)</f>
        <v/>
      </c>
      <c r="D9" s="3">
        <f>SUM(D5:D8)</f>
        <v/>
      </c>
    </row>
    <row r="11">
      <c r="A11" s="4" t="inlineStr">
        <is>
          <t>Discounts</t>
        </is>
      </c>
    </row>
    <row r="12">
      <c r="A12" s="2" t="inlineStr">
        <is>
          <t>Discount</t>
        </is>
      </c>
      <c r="B12" s="2" t="inlineStr">
        <is>
          <t>Emma</t>
        </is>
      </c>
      <c r="C12" s="2" t="inlineStr">
        <is>
          <t>Liam</t>
        </is>
      </c>
      <c r="D12" s="2" t="inlineStr">
        <is>
          <t>Total</t>
        </is>
      </c>
    </row>
    <row r="13">
      <c r="A13" s="3" t="inlineStr">
        <is>
          <t>Sibling Discount (10%)</t>
        </is>
      </c>
      <c r="B13" s="3" t="n">
        <v>0</v>
      </c>
      <c r="C13" s="3" t="n">
        <v>240</v>
      </c>
      <c r="D13" s="3">
        <f>B13+C13</f>
        <v/>
      </c>
    </row>
    <row r="14">
      <c r="A14" s="3" t="inlineStr">
        <is>
          <t>Early Bird ($25/wk)</t>
        </is>
      </c>
      <c r="B14" s="3" t="n">
        <v>200</v>
      </c>
      <c r="C14" s="3" t="n">
        <v>200</v>
      </c>
      <c r="D14" s="3">
        <f>B14+C14</f>
        <v/>
      </c>
    </row>
    <row r="15">
      <c r="A15" s="8" t="inlineStr">
        <is>
          <t>Total Discounts</t>
        </is>
      </c>
      <c r="B15" s="3">
        <f>SUM(B13:B14)</f>
        <v/>
      </c>
      <c r="C15" s="3">
        <f>SUM(C13:C14)</f>
        <v/>
      </c>
      <c r="D15" s="3">
        <f>SUM(D13:D14)</f>
        <v/>
      </c>
    </row>
    <row r="17">
      <c r="A17" s="7" t="inlineStr">
        <is>
          <t>GRAND TOTAL</t>
        </is>
      </c>
      <c r="B17" s="7">
        <f>B9-B15</f>
        <v/>
      </c>
      <c r="C17" s="7">
        <f>C9-C15</f>
        <v/>
      </c>
      <c r="D17" s="7">
        <f>D9-D15</f>
        <v/>
      </c>
    </row>
    <row r="19">
      <c r="A19" s="4" t="inlineStr">
        <is>
          <t>Budget vs. Target</t>
        </is>
      </c>
    </row>
    <row r="20">
      <c r="A20" t="inlineStr">
        <is>
          <t>Budget Limit</t>
        </is>
      </c>
      <c r="B20" t="n">
        <v>7000</v>
      </c>
    </row>
    <row r="21">
      <c r="A21" t="inlineStr">
        <is>
          <t>Projected Spend</t>
        </is>
      </c>
      <c r="B21">
        <f>D17</f>
        <v/>
      </c>
    </row>
    <row r="22">
      <c r="A22" t="inlineStr">
        <is>
          <t>Variance</t>
        </is>
      </c>
      <c r="B22">
        <f>B20-B21</f>
        <v/>
      </c>
    </row>
    <row r="23">
      <c r="A23" t="inlineStr">
        <is>
          <t>Status</t>
        </is>
      </c>
      <c r="B23">
        <f>IF(B22&gt;=0,"UNDER BUDGET","OVER BUDGET")</f>
        <v/>
      </c>
    </row>
    <row r="25">
      <c r="A25" s="4" t="inlineStr">
        <is>
          <t>Tax Recovery Estimate (Line 21400)</t>
        </is>
      </c>
    </row>
    <row r="26">
      <c r="A26" s="2" t="inlineStr">
        <is>
          <t>Child</t>
        </is>
      </c>
      <c r="B26" s="2" t="inlineStr">
        <is>
          <t>Eligible Amount</t>
        </is>
      </c>
      <c r="C26" s="2" t="inlineStr">
        <is>
          <t>Marginal Rate</t>
        </is>
      </c>
      <c r="D26" s="2" t="inlineStr">
        <is>
          <t>Est. Savings</t>
        </is>
      </c>
    </row>
    <row r="27">
      <c r="A27" s="3" t="inlineStr">
        <is>
          <t>Emma</t>
        </is>
      </c>
      <c r="B27" s="3">
        <f>B17</f>
        <v/>
      </c>
      <c r="C27" s="3" t="n">
        <v>0.25</v>
      </c>
      <c r="D27" s="3">
        <f>B27*C27</f>
        <v/>
      </c>
    </row>
    <row r="28">
      <c r="A28" s="3" t="inlineStr">
        <is>
          <t>Liam</t>
        </is>
      </c>
      <c r="B28" s="3">
        <f>C17</f>
        <v/>
      </c>
      <c r="C28" s="3" t="n">
        <v>0.25</v>
      </c>
      <c r="D28" s="3">
        <f>B28*C28</f>
        <v/>
      </c>
    </row>
    <row r="29">
      <c r="A29" s="3" t="inlineStr">
        <is>
          <t>Total Savings</t>
        </is>
      </c>
      <c r="B29" s="3" t="n"/>
      <c r="C29" s="3" t="n"/>
      <c r="D29" s="3">
        <f>SUM(D27:D28)</f>
        <v/>
      </c>
    </row>
    <row r="31">
      <c r="A31" s="4" t="inlineStr">
        <is>
          <t>Cost by Camp Provider</t>
        </is>
      </c>
    </row>
    <row r="32">
      <c r="A32" s="2" t="inlineStr">
        <is>
          <t>Provider</t>
        </is>
      </c>
      <c r="B32" s="2" t="inlineStr">
        <is>
          <t>Emma</t>
        </is>
      </c>
      <c r="C32" s="2" t="inlineStr">
        <is>
          <t>Liam</t>
        </is>
      </c>
      <c r="D32" s="2" t="inlineStr">
        <is>
          <t>Total</t>
        </is>
      </c>
    </row>
    <row r="33">
      <c r="A33" s="3" t="inlineStr">
        <is>
          <t>YMCA Cedar Glen</t>
        </is>
      </c>
      <c r="B33" s="3">
        <f>SUMIF('Daily Schedule'!D$4:D$43,A33,'Daily Schedule'!I$4:I$43)</f>
        <v/>
      </c>
      <c r="C33" s="3">
        <f>SUMIF('Daily Schedule'!J$4:J$43,A33,'Daily Schedule'!O$4:O$43)</f>
        <v/>
      </c>
      <c r="D33" s="3">
        <f>B33+C33</f>
        <v/>
      </c>
    </row>
    <row r="34">
      <c r="A34" s="3" t="inlineStr">
        <is>
          <t>City of Toronto</t>
        </is>
      </c>
      <c r="B34" s="3">
        <f>SUMIF('Daily Schedule'!D$4:D$43,A34,'Daily Schedule'!I$4:I$43)</f>
        <v/>
      </c>
      <c r="C34" s="3">
        <f>SUMIF('Daily Schedule'!J$4:J$43,A34,'Daily Schedule'!O$4:O$43)</f>
        <v/>
      </c>
      <c r="D34" s="3">
        <f>B34+C34</f>
        <v/>
      </c>
    </row>
    <row r="35">
      <c r="A35" s="3" t="inlineStr">
        <is>
          <t>Science Camp Toronto</t>
        </is>
      </c>
      <c r="B35" s="3">
        <f>SUMIF('Daily Schedule'!D$4:D$43,A35,'Daily Schedule'!I$4:I$43)</f>
        <v/>
      </c>
      <c r="C35" s="3">
        <f>SUMIF('Daily Schedule'!J$4:J$43,A35,'Daily Schedule'!O$4:O$43)</f>
        <v/>
      </c>
      <c r="D35" s="3">
        <f>B35+C35</f>
        <v/>
      </c>
    </row>
    <row r="36">
      <c r="A36" s="7" t="inlineStr">
        <is>
          <t>Total Camp Fees</t>
        </is>
      </c>
      <c r="B36" s="7">
        <f>SUM(B33:B35)</f>
        <v/>
      </c>
      <c r="C36" s="7">
        <f>SUM(C33:C35)</f>
        <v/>
      </c>
      <c r="D36" s="7">
        <f>SUM(D33:D35)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2026-02-08T21:27:15Z</dcterms:created>
  <dcterms:modified xsi:type="dcterms:W3CDTF">2026-02-08T21:27:15Z</dcterms:modified>
</cp:coreProperties>
</file>